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RCRAFT MODELS" sheetId="1" state="visible" r:id="rId3"/>
    <sheet name="POSITION CONFIGURATIONS" sheetId="2" state="visible" r:id="rId4"/>
    <sheet name="ULD LOAD INPUT" sheetId="3" state="visible" r:id="rId5"/>
    <sheet name="ULD MASTER TABLE" sheetId="4" state="visible" r:id="rId6"/>
    <sheet name="CARGO HOLD VISUAL LAYOUT" sheetId="5" state="visible" r:id="rId7"/>
    <sheet name="ARM &amp; MOMENT COMPUTATION" sheetId="6" state="visible" r:id="rId8"/>
    <sheet name="CG &amp; BALANCE DECISION ENGINE" sheetId="7" state="visible" r:id="rId9"/>
    <sheet name="AIRCRAFT LOAD &amp; TRIM SHEET" sheetId="8" state="visible" r:id="rId10"/>
    <sheet name="AI SYSTEM EXPLAN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<sst xmlns="http://schemas.openxmlformats.org/spreadsheetml/2006/main" count="307" uniqueCount="204">
  <si>
    <t xml:space="preserve">Aircraft Type</t>
  </si>
  <si>
    <t xml:space="preserve">Max Positions</t>
  </si>
  <si>
    <t xml:space="preserve">Main Deck Pos</t>
  </si>
  <si>
    <t xml:space="preserve">Lower Deck Pos</t>
  </si>
  <si>
    <t xml:space="preserve">CG Forward (m)</t>
  </si>
  <si>
    <t xml:space="preserve">CG Aft (m)</t>
  </si>
  <si>
    <t xml:space="preserve">Max Payload (kg)</t>
  </si>
  <si>
    <t xml:space="preserve">A320</t>
  </si>
  <si>
    <t xml:space="preserve">B737</t>
  </si>
  <si>
    <t xml:space="preserve">B777</t>
  </si>
  <si>
    <t xml:space="preserve">Position</t>
  </si>
  <si>
    <t xml:space="preserve">Arm (m)</t>
  </si>
  <si>
    <t xml:space="preserve">Deck</t>
  </si>
  <si>
    <t xml:space="preserve">Aircraft</t>
  </si>
  <si>
    <t xml:space="preserve">A1</t>
  </si>
  <si>
    <t xml:space="preserve">Lower</t>
  </si>
  <si>
    <t xml:space="preserve">A2</t>
  </si>
  <si>
    <t xml:space="preserve">B1</t>
  </si>
  <si>
    <t xml:space="preserve">B2</t>
  </si>
  <si>
    <t xml:space="preserve">C1</t>
  </si>
  <si>
    <t xml:space="preserve">C2</t>
  </si>
  <si>
    <t xml:space="preserve">D1</t>
  </si>
  <si>
    <t xml:space="preserve">D2</t>
  </si>
  <si>
    <t xml:space="preserve">E1</t>
  </si>
  <si>
    <t xml:space="preserve">E2</t>
  </si>
  <si>
    <t xml:space="preserve">F1</t>
  </si>
  <si>
    <t xml:space="preserve">F2</t>
  </si>
  <si>
    <t xml:space="preserve">FWD1</t>
  </si>
  <si>
    <t xml:space="preserve">FWD2</t>
  </si>
  <si>
    <t xml:space="preserve">AFT1</t>
  </si>
  <si>
    <t xml:space="preserve">AFT2</t>
  </si>
  <si>
    <t xml:space="preserve">M1</t>
  </si>
  <si>
    <t xml:space="preserve">Main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</si>
  <si>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</si>
  <si>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</si>
  <si>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</si>
  <si>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</si>
  <si>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</si>
  <si>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</si>
  <si>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</si>
  <si>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</si>
  <si>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</si>
  <si>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</si>
  <si>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</si>
  <si>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ULD Type</t>
  </si>
  <si>
    <t xml:space="preserve">Weight (kg)</t>
  </si>
  <si>
    <t xml:space="preserve">Destination</t>
  </si>
  <si>
    <t xml:space="preserve">📝 INSTRUCTIONS</t>
  </si>
  <si>
    <t xml:space="preserve">LD-7</t>
  </si>
  <si>
    <t xml:space="preserve">DXB</t>
  </si>
  <si>
    <t xml:space="preserve">1. Edit Weight values (blue numbers)</t>
  </si>
  <si>
    <t xml:space="preserve">PMC</t>
  </si>
  <si>
    <t xml:space="preserve">LHR</t>
  </si>
  <si>
    <t xml:space="preserve">2. Select ULD Type from dropdown</t>
  </si>
  <si>
    <t xml:space="preserve">LD-3</t>
  </si>
  <si>
    <t xml:space="preserve">BOM</t>
  </si>
  <si>
    <t xml:space="preserve">3. All calculations update automatically</t>
  </si>
  <si>
    <t xml:space="preserve">PAG</t>
  </si>
  <si>
    <t xml:space="preserve">FRA</t>
  </si>
  <si>
    <t xml:space="preserve">4. Check TRIM SHEET for results</t>
  </si>
  <si>
    <t xml:space="preserve">JFK</t>
  </si>
  <si>
    <t xml:space="preserve">SIN</t>
  </si>
  <si>
    <t xml:space="preserve">CDG</t>
  </si>
  <si>
    <t xml:space="preserve">AMS</t>
  </si>
  <si>
    <t xml:space="preserve">IST</t>
  </si>
  <si>
    <t xml:space="preserve">SYD</t>
  </si>
  <si>
    <t xml:space="preserve">HKG</t>
  </si>
  <si>
    <t xml:space="preserve">Max Weight (kg)</t>
  </si>
  <si>
    <t xml:space="preserve">Compatible Aircraft</t>
  </si>
  <si>
    <t xml:space="preserve">A320,B737,B777</t>
  </si>
  <si>
    <t xml:space="preserve">A320,B777</t>
  </si>
  <si>
    <t xml:space="preserve">AKE</t>
  </si>
  <si>
    <t xml:space="preserve">AKH</t>
  </si>
  <si>
    <t xml:space="preserve">PLA</t>
  </si>
  <si>
    <t xml:space="preserve">AI CARGO HOLD MONITORING - VISUAL INSPECTION SYSTEM</t>
  </si>
  <si>
    <t xml:space="preserve">Actual Weight</t>
  </si>
  <si>
    <t xml:space="preserve">Max Weight</t>
  </si>
  <si>
    <t xml:space="preserve">Utilization %</t>
  </si>
  <si>
    <t xml:space="preserve">Status</t>
  </si>
  <si>
    <t xml:space="preserve">PHYSICS CALCULATION ENGINE - CENTER OF GRAVITY ANALYSIS</t>
  </si>
  <si>
    <t xml:space="preserve">Moment (kg·m)</t>
  </si>
  <si>
    <t xml:space="preserve">TOTALS:</t>
  </si>
  <si>
    <t xml:space="preserve">AI SAFETY EVALUATION &amp; DECISION SYSTEM</t>
  </si>
  <si>
    <t xml:space="preserve">AIRCRAFT PARAMETERS</t>
  </si>
  <si>
    <t xml:space="preserve">Aircraft Type:</t>
  </si>
  <si>
    <t xml:space="preserve">CG SAFETY ENVELOPE</t>
  </si>
  <si>
    <t xml:space="preserve">Forward CG Limit (m):</t>
  </si>
  <si>
    <t xml:space="preserve">Aft CG Limit (m):</t>
  </si>
  <si>
    <t xml:space="preserve">COMPUTED VALUES</t>
  </si>
  <si>
    <t xml:space="preserve">Total Cargo Weight (kg):</t>
  </si>
  <si>
    <t xml:space="preserve">Total Moment (kg·m):</t>
  </si>
  <si>
    <t xml:space="preserve">CENTER OF GRAVITY (m):</t>
  </si>
  <si>
    <t xml:space="preserve">AI SAFETY DECISION</t>
  </si>
  <si>
    <t xml:space="preserve">CG Status:</t>
  </si>
  <si>
    <t xml:space="preserve">Overall Load Safety:</t>
  </si>
  <si>
    <t xml:space="preserve">AIRCRAFT LOAD AND TRIM SHEET</t>
  </si>
  <si>
    <t xml:space="preserve">AI-POWERED LOAD PLANNING SYSTEM | AUTO-GENERATED DOCUMENT</t>
  </si>
  <si>
    <t xml:space="preserve">AIRCRAFT SELECTION</t>
  </si>
  <si>
    <t xml:space="preserve">Selected Aircraft Model</t>
  </si>
  <si>
    <t xml:space="preserve">FLIGHT INFORMATION</t>
  </si>
  <si>
    <t xml:space="preserve">SYSTEM INFORMATION</t>
  </si>
  <si>
    <t xml:space="preserve">Load Controller:</t>
  </si>
  <si>
    <t xml:space="preserve">AI SYSTEM</t>
  </si>
  <si>
    <t xml:space="preserve">Flight Number:</t>
  </si>
  <si>
    <t xml:space="preserve">CA-8042</t>
  </si>
  <si>
    <t xml:space="preserve">Status:</t>
  </si>
  <si>
    <t xml:space="preserve">AUTO-GENERATED</t>
  </si>
  <si>
    <t xml:space="preserve">Route:</t>
  </si>
  <si>
    <t xml:space="preserve">PVG → LAX</t>
  </si>
  <si>
    <t xml:space="preserve">Version:</t>
  </si>
  <si>
    <t xml:space="preserve">v1.0</t>
  </si>
  <si>
    <t xml:space="preserve">Date:</t>
  </si>
  <si>
    <t xml:space="preserve">Time:</t>
  </si>
  <si>
    <t xml:space="preserve">🛫 AIRCRAFT CARGO HOLD - VISUAL LOAD DISTRIBUTION</t>
  </si>
  <si>
    <t xml:space="preserve">TOP VIEW - CARGO COMPARTMENTS</t>
  </si>
  <si>
    <t xml:space="preserve">▲ NOSE</t>
  </si>
  <si>
    <t xml:space="preserve">POS A1</t>
  </si>
  <si>
    <t xml:space="preserve">POS A2</t>
  </si>
  <si>
    <t xml:space="preserve">POS B1</t>
  </si>
  <si>
    <t xml:space="preserve">POS B2</t>
  </si>
  <si>
    <t xml:space="preserve">POS C1</t>
  </si>
  <si>
    <t xml:space="preserve">POS C2</t>
  </si>
  <si>
    <t xml:space="preserve">POS D1</t>
  </si>
  <si>
    <t xml:space="preserve">POS D2</t>
  </si>
  <si>
    <t xml:space="preserve">POS E1</t>
  </si>
  <si>
    <t xml:space="preserve">POS E2</t>
  </si>
  <si>
    <t xml:space="preserve">POS F1</t>
  </si>
  <si>
    <t xml:space="preserve">POS F2</t>
  </si>
  <si>
    <t xml:space="preserve">▼ TAIL</t>
  </si>
  <si>
    <t xml:space="preserve">LOAD SUMMARY</t>
  </si>
  <si>
    <t xml:space="preserve">CENTER OF GRAVITY ANALYSIS</t>
  </si>
  <si>
    <t xml:space="preserve">Total Cargo Weight:</t>
  </si>
  <si>
    <t xml:space="preserve">Computed CG:</t>
  </si>
  <si>
    <t xml:space="preserve">Total ULD Count:</t>
  </si>
  <si>
    <t xml:space="preserve">Forward Limit:</t>
  </si>
  <si>
    <t xml:space="preserve">Main Deck Weight:</t>
  </si>
  <si>
    <t xml:space="preserve">Aft Limit:</t>
  </si>
  <si>
    <t xml:space="preserve">Lower Deck Weight:</t>
  </si>
  <si>
    <t xml:space="preserve">Overload Alerts:</t>
  </si>
  <si>
    <t xml:space="preserve">CG ENVELOPE VISUALIZATION</t>
  </si>
  <si>
    <t xml:space="preserve">⚠️ FLIGHT SAFETY STATUS</t>
  </si>
  <si>
    <t xml:space="preserve">Forward Limit</t>
  </si>
  <si>
    <t xml:space="preserve">Current CG</t>
  </si>
  <si>
    <t xml:space="preserve">Aft Limit</t>
  </si>
  <si>
    <t xml:space="preserve">DETAILED STATUS CHECKS</t>
  </si>
  <si>
    <t xml:space="preserve">Weight Distribution:</t>
  </si>
  <si>
    <t xml:space="preserve">CG Position:</t>
  </si>
  <si>
    <t xml:space="preserve">ULD Compliance:</t>
  </si>
  <si>
    <t xml:space="preserve">CERTIFICATION &amp; APPROVAL</t>
  </si>
  <si>
    <t xml:space="preserve">Prepared By:</t>
  </si>
  <si>
    <t xml:space="preserve">AI Load Planning System v1.0</t>
  </si>
  <si>
    <t xml:space="preserve">Approved By:</t>
  </si>
  <si>
    <t xml:space="preserve">Load Control Supervisor</t>
  </si>
  <si>
    <t xml:space="preserve">Generated:</t>
  </si>
  <si>
    <t xml:space="preserve">Signature:</t>
  </si>
  <si>
    <t xml:space="preserve">_______________________</t>
  </si>
  <si>
    <t xml:space="preserve">This document is auto-generated by AI-powered rule-based load planning system. All calculations are based on aircraft manufacturer specifications and regulatory requirements.</t>
  </si>
  <si>
    <t xml:space="preserve">EXPLAINABLE AI SYSTEM DOCUMENTATION</t>
  </si>
  <si>
    <t xml:space="preserve">SECTION</t>
  </si>
  <si>
    <t xml:space="preserve">DESCRIPTION</t>
  </si>
  <si>
    <t xml:space="preserve">HOW IT WORKS</t>
  </si>
  <si>
    <t xml:space="preserve">1. AI KNOWLEDGE BASE</t>
  </si>
  <si>
    <t xml:space="preserve">ULD MASTER TABLE sheet</t>
  </si>
  <si>
    <t xml:space="preserve">Stores aircraft cargo container specifications. Acts as AI 'memory' that the system queries for weight limits and deck assignments.</t>
  </si>
  <si>
    <t xml:space="preserve">2. KNOWLEDGE LOOKUP</t>
  </si>
  <si>
    <t xml:space="preserve">XLOOKUP formulas</t>
  </si>
  <si>
    <t xml:space="preserve">Simulates AI information retrieval. When user enters a ULD type, formulas automatically fetch max weight from knowledge base.</t>
  </si>
  <si>
    <t xml:space="preserve">3. RULE-BASED INFERENCE</t>
  </si>
  <si>
    <t xml:space="preserve">IF-THEN logic in formulas</t>
  </si>
  <si>
    <t xml:space="preserve">AI decision-making using nested IF statements: IF weight &gt; max THEN OVERLOAD, ELSE IF weight &gt; 90% THEN NEAR LIMIT, ELSE SAFE</t>
  </si>
  <si>
    <t xml:space="preserve">4. REAL-TIME MONITORING</t>
  </si>
  <si>
    <t xml:space="preserve">Dynamic cell updates</t>
  </si>
  <si>
    <t xml:space="preserve">All calculations update instantly when user changes input. Simulates AI continuously monitoring cargo status.</t>
  </si>
  <si>
    <t xml:space="preserve">5. VISUAL INSPECTION</t>
  </si>
  <si>
    <t xml:space="preserve">CARGO HOLD VISUAL LAYOUT</t>
  </si>
  <si>
    <t xml:space="preserve">Color-coded status display (Red/Yellow/Green) represents AI visual pattern recognition of unsafe conditions.</t>
  </si>
  <si>
    <t xml:space="preserve">6. PHYSICS ENGINE</t>
  </si>
  <si>
    <t xml:space="preserve">Weight × Arm = Moment</t>
  </si>
  <si>
    <t xml:space="preserve">Automated calculation of aircraft balance physics. CG = Total Moment / Total Weight computed automatically.</t>
  </si>
  <si>
    <t xml:space="preserve">7. SAFETY DECISION LOGIC</t>
  </si>
  <si>
    <t xml:space="preserve">CG &amp; BALANCE DECISION ENGINE</t>
  </si>
  <si>
    <t xml:space="preserve">AI evaluates if CG is within 14-28m envelope. Makes binary safety decision: SAFE or NOT SAFE for flight.</t>
  </si>
  <si>
    <t xml:space="preserve">8. AUTOMATED REPORTING</t>
  </si>
  <si>
    <t xml:space="preserve">AUTO-GENERATED TRIM SHEET</t>
  </si>
  <si>
    <t xml:space="preserve">AI compiles all data into professional flight document automatically. No manual intervention required.</t>
  </si>
  <si>
    <t xml:space="preserve">WHY THIS IS AI:</t>
  </si>
  <si>
    <t xml:space="preserve">• Knowledge Representation</t>
  </si>
  <si>
    <t xml:space="preserve">Structured data storage (ULD Master Table)</t>
  </si>
  <si>
    <t xml:space="preserve">• Inference Engine</t>
  </si>
  <si>
    <t xml:space="preserve">Rule-based decision making (IF-THEN logic)</t>
  </si>
  <si>
    <t xml:space="preserve">• Automated Reasoning</t>
  </si>
  <si>
    <t xml:space="preserve">CG safety evaluation without human input</t>
  </si>
  <si>
    <t xml:space="preserve">• Pattern Recognition</t>
  </si>
  <si>
    <t xml:space="preserve">Visual status monitoring and alerts</t>
  </si>
  <si>
    <t xml:space="preserve">• Expert System</t>
  </si>
  <si>
    <t xml:space="preserve">Encodes aviation engineering expertise in formulas</t>
  </si>
  <si>
    <t xml:space="preserve">EXPLAINABILITY:</t>
  </si>
  <si>
    <t xml:space="preserve">Every decision can be traced:</t>
  </si>
  <si>
    <t xml:space="preserve">1. Input → Which ULD type selected</t>
  </si>
  <si>
    <t xml:space="preserve">2. Lookup → What max weight retrieved</t>
  </si>
  <si>
    <t xml:space="preserve">3. Comparison → Weight vs limit calculation</t>
  </si>
  <si>
    <t xml:space="preserve">4. Decision → Clear status determination</t>
  </si>
  <si>
    <t xml:space="preserve">5. Output → Visible in trim sheet</t>
  </si>
  <si>
    <t xml:space="preserve">This represents a transparent, rule-based AI system where every calculation and decision is visible and auditable.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</si>
</sst>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General"/>
    <numFmt numFmtId="167" formatCode="#,##0"/>
    <numFmt numFmtId="168" formatCode="#,##0.0"/>
    <numFmt numFmtId="169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FF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7"/>
      <color rgb="FF7F7F7F"/>
      <name val="Arial"/>
      <family val="0"/>
      <charset val="1"/>
    </font>
    <font>
      <b val="true"/>
      <sz val="12"/>
      <color rgb="FF7030A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8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666699"/>
      <rgbColor rgb="FF7F7F7F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12</v>
      </c>
      <c r="C2" s="0" t="n">
        <v>0</v>
      </c>
      <c r="D2" s="0" t="n">
        <v>12</v>
      </c>
      <c r="E2" s="0" t="n">
        <v>14</v>
      </c>
      <c r="F2" s="0" t="n">
        <v>28</v>
      </c>
      <c r="G2" s="0" t="n">
        <v>20000</v>
      </c>
    </row>
    <row r="3" customFormat="false" ht="15" hidden="false" customHeight="false" outlineLevel="0" collapsed="false">
      <c r="A3" s="0" t="s">
        <v>8</v>
      </c>
      <c r="B3" s="0" t="n">
        <v>4</v>
      </c>
      <c r="C3" s="0" t="n">
        <v>0</v>
      </c>
      <c r="D3" s="0" t="n">
        <v>4</v>
      </c>
      <c r="E3" s="0" t="n">
        <v>12.5</v>
      </c>
      <c r="F3" s="0" t="n">
        <v>24.5</v>
      </c>
      <c r="G3" s="0" t="n">
        <v>20000</v>
      </c>
    </row>
    <row r="4" customFormat="false" ht="15" hidden="false" customHeight="false" outlineLevel="0" collapsed="false">
      <c r="A4" s="0" t="s">
        <v>9</v>
      </c>
      <c r="B4" s="0" t="n">
        <v>12</v>
      </c>
      <c r="C4" s="0" t="n">
        <v>6</v>
      </c>
      <c r="D4" s="0" t="n">
        <v>6</v>
      </c>
      <c r="E4" s="0" t="n">
        <v>15</v>
      </c>
      <c r="F4" s="0" t="n">
        <v>30</v>
      </c>
      <c r="G4" s="0" t="n"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</cols>
  <sheetData>
    <row r="1" customFormat="false" ht="1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</row>
    <row r="2" customFormat="false" ht="15" hidden="false" customHeight="false" outlineLevel="0" collapsed="false">
      <c r="A2" s="0" t="s">
        <v>14</v>
      </c>
      <c r="B2" s="0" t="n">
        <v>12.5</v>
      </c>
      <c r="C2" s="0" t="s">
        <v>15</v>
      </c>
      <c r="D2" s="0" t="s">
        <v>7</v>
      </c>
    </row>
    <row r="3" customFormat="false" ht="15" hidden="false" customHeight="false" outlineLevel="0" collapsed="false">
      <c r="A3" s="0" t="s">
        <v>16</v>
      </c>
      <c r="B3" s="0" t="n">
        <v>13</v>
      </c>
      <c r="C3" s="0" t="s">
        <v>15</v>
      </c>
      <c r="D3" s="0" t="s">
        <v>7</v>
      </c>
    </row>
    <row r="4" customFormat="false" ht="15" hidden="false" customHeight="false" outlineLevel="0" collapsed="false">
      <c r="A4" s="0" t="s">
        <v>17</v>
      </c>
      <c r="B4" s="0" t="n">
        <v>16</v>
      </c>
      <c r="C4" s="0" t="s">
        <v>15</v>
      </c>
      <c r="D4" s="0" t="s">
        <v>7</v>
      </c>
    </row>
    <row r="5" customFormat="false" ht="15" hidden="false" customHeight="false" outlineLevel="0" collapsed="false">
      <c r="A5" s="0" t="s">
        <v>18</v>
      </c>
      <c r="B5" s="0" t="n">
        <v>16.5</v>
      </c>
      <c r="C5" s="0" t="s">
        <v>15</v>
      </c>
      <c r="D5" s="0" t="s">
        <v>7</v>
      </c>
    </row>
    <row r="6" customFormat="false" ht="15" hidden="false" customHeight="false" outlineLevel="0" collapsed="false">
      <c r="A6" s="0" t="s">
        <v>19</v>
      </c>
      <c r="B6" s="0" t="n">
        <v>19.5</v>
      </c>
      <c r="C6" s="0" t="s">
        <v>15</v>
      </c>
      <c r="D6" s="0" t="s">
        <v>7</v>
      </c>
    </row>
    <row r="7" customFormat="false" ht="15" hidden="false" customHeight="false" outlineLevel="0" collapsed="false">
      <c r="A7" s="0" t="s">
        <v>20</v>
      </c>
      <c r="B7" s="0" t="n">
        <v>20</v>
      </c>
      <c r="C7" s="0" t="s">
        <v>15</v>
      </c>
      <c r="D7" s="0" t="s">
        <v>7</v>
      </c>
    </row>
    <row r="8" customFormat="false" ht="15" hidden="false" customHeight="false" outlineLevel="0" collapsed="false">
      <c r="A8" s="0" t="s">
        <v>21</v>
      </c>
      <c r="B8" s="0" t="n">
        <v>23</v>
      </c>
      <c r="C8" s="0" t="s">
        <v>15</v>
      </c>
      <c r="D8" s="0" t="s">
        <v>7</v>
      </c>
    </row>
    <row r="9" customFormat="false" ht="15" hidden="false" customHeight="false" outlineLevel="0" collapsed="false">
      <c r="A9" s="0" t="s">
        <v>22</v>
      </c>
      <c r="B9" s="0" t="n">
        <v>23.5</v>
      </c>
      <c r="C9" s="0" t="s">
        <v>15</v>
      </c>
      <c r="D9" s="0" t="s">
        <v>7</v>
      </c>
    </row>
    <row r="10" customFormat="false" ht="15" hidden="false" customHeight="false" outlineLevel="0" collapsed="false">
      <c r="A10" s="0" t="s">
        <v>23</v>
      </c>
      <c r="B10" s="0" t="n">
        <v>27</v>
      </c>
      <c r="C10" s="0" t="s">
        <v>15</v>
      </c>
      <c r="D10" s="0" t="s">
        <v>7</v>
      </c>
    </row>
    <row r="11" customFormat="false" ht="15" hidden="false" customHeight="false" outlineLevel="0" collapsed="false">
      <c r="A11" s="0" t="s">
        <v>24</v>
      </c>
      <c r="B11" s="0" t="n">
        <v>27.5</v>
      </c>
      <c r="C11" s="0" t="s">
        <v>15</v>
      </c>
      <c r="D11" s="0" t="s">
        <v>7</v>
      </c>
    </row>
    <row r="12" customFormat="false" ht="15" hidden="false" customHeight="false" outlineLevel="0" collapsed="false">
      <c r="A12" s="0" t="s">
        <v>25</v>
      </c>
      <c r="B12" s="0" t="n">
        <v>31</v>
      </c>
      <c r="C12" s="0" t="s">
        <v>15</v>
      </c>
      <c r="D12" s="0" t="s">
        <v>7</v>
      </c>
    </row>
    <row r="13" customFormat="false" ht="15" hidden="false" customHeight="false" outlineLevel="0" collapsed="false">
      <c r="A13" s="0" t="s">
        <v>26</v>
      </c>
      <c r="B13" s="0" t="n">
        <v>31.5</v>
      </c>
      <c r="C13" s="0" t="s">
        <v>15</v>
      </c>
      <c r="D13" s="0" t="s">
        <v>7</v>
      </c>
    </row>
    <row r="14" customFormat="false" ht="15" hidden="false" customHeight="false" outlineLevel="0" collapsed="false">
      <c r="A14" s="0" t="s">
        <v>27</v>
      </c>
      <c r="B14" s="0" t="n">
        <v>10.5</v>
      </c>
      <c r="C14" s="0" t="s">
        <v>15</v>
      </c>
      <c r="D14" s="0" t="s">
        <v>8</v>
      </c>
    </row>
    <row r="15" customFormat="false" ht="15" hidden="false" customHeight="false" outlineLevel="0" collapsed="false">
      <c r="A15" s="0" t="s">
        <v>28</v>
      </c>
      <c r="B15" s="0" t="n">
        <v>12</v>
      </c>
      <c r="C15" s="0" t="s">
        <v>15</v>
      </c>
      <c r="D15" s="0" t="s">
        <v>8</v>
      </c>
    </row>
    <row r="16" customFormat="false" ht="15" hidden="false" customHeight="false" outlineLevel="0" collapsed="false">
      <c r="A16" s="0" t="s">
        <v>29</v>
      </c>
      <c r="B16" s="0" t="n">
        <v>20.5</v>
      </c>
      <c r="C16" s="0" t="s">
        <v>15</v>
      </c>
      <c r="D16" s="0" t="s">
        <v>8</v>
      </c>
    </row>
    <row r="17" customFormat="false" ht="15" hidden="false" customHeight="false" outlineLevel="0" collapsed="false">
      <c r="A17" s="0" t="s">
        <v>30</v>
      </c>
      <c r="B17" s="0" t="n">
        <v>22</v>
      </c>
      <c r="C17" s="0" t="s">
        <v>15</v>
      </c>
      <c r="D17" s="0" t="s">
        <v>8</v>
      </c>
    </row>
    <row r="18" customFormat="false" ht="15" hidden="false" customHeight="false" outlineLevel="0" collapsed="false">
      <c r="A18" s="0" t="s">
        <v>31</v>
      </c>
      <c r="B18" s="0" t="n">
        <v>18</v>
      </c>
      <c r="C18" s="0" t="s">
        <v>32</v>
      </c>
      <c r="D18" s="0" t="s">
        <v>9</v>
      </c>
    </row>
    <row r="19" customFormat="false" ht="15" hidden="false" customHeight="false" outlineLevel="0" collapsed="false">
      <c r="A19" s="0" t="s">
        <v>33</v>
      </c>
      <c r="B19" s="0" t="n">
        <v>20.5</v>
      </c>
      <c r="C19" s="0" t="s">
        <v>32</v>
      </c>
      <c r="D19" s="0" t="s">
        <v>9</v>
      </c>
    </row>
    <row r="20" customFormat="false" ht="15" hidden="false" customHeight="false" outlineLevel="0" collapsed="false">
      <c r="A20" s="0" t="s">
        <v>34</v>
      </c>
      <c r="B20" s="0" t="n">
        <v>23</v>
      </c>
      <c r="C20" s="0" t="s">
        <v>32</v>
      </c>
      <c r="D20" s="0" t="s">
        <v>9</v>
      </c>
    </row>
    <row r="21" customFormat="false" ht="15" hidden="false" customHeight="false" outlineLevel="0" collapsed="false">
      <c r="A21" s="0" t="s">
        <v>35</v>
      </c>
      <c r="B21" s="0" t="n">
        <v>25.5</v>
      </c>
      <c r="C21" s="0" t="s">
        <v>32</v>
      </c>
      <c r="D21" s="0" t="s">
        <v>9</v>
      </c>
    </row>
    <row r="22" customFormat="false" ht="15" hidden="false" customHeight="false" outlineLevel="0" collapsed="false">
      <c r="A22" s="0" t="s">
        <v>36</v>
      </c>
      <c r="B22" s="0" t="n">
        <v>28</v>
      </c>
      <c r="C22" s="0" t="s">
        <v>32</v>
      </c>
      <c r="D22" s="0" t="s">
        <v>9</v>
      </c>
    </row>
    <row r="23" customFormat="false" ht="15" hidden="false" customHeight="false" outlineLevel="0" collapsed="false">
      <c r="A23" s="0" t="s">
        <v>37</v>
      </c>
      <c r="B23" s="0" t="n">
        <v>30.5</v>
      </c>
      <c r="C23" s="0" t="s">
        <v>32</v>
      </c>
      <c r="D23" s="0" t="s">
        <v>9</v>
      </c>
    </row>
    <row r="24" customFormat="false" ht="15" hidden="false" customHeight="false" outlineLevel="0" collapsed="false">
      <c r="A24" s="0" t="s">
        <v>38</v>
      </c>
      <c r="B24" s="0" t="n">
        <v>12</v>
      </c>
      <c r="C24" s="0" t="s">
        <v>15</v>
      </c>
      <c r="D24" s="0" t="s">
        <v>9</v>
      </c>
    </row>
    <row r="25" customFormat="false" ht="15" hidden="false" customHeight="false" outlineLevel="0" collapsed="false">
      <c r="A25" s="0" t="s">
        <v>39</v>
      </c>
      <c r="B25" s="0" t="n">
        <v>14.5</v>
      </c>
      <c r="C25" s="0" t="s">
        <v>15</v>
      </c>
      <c r="D25" s="0" t="s">
        <v>9</v>
      </c>
    </row>
    <row r="26" customFormat="false" ht="15" hidden="false" customHeight="false" outlineLevel="0" collapsed="false">
      <c r="A26" s="0" t="s">
        <v>40</v>
      </c>
      <c r="B26" s="0" t="n">
        <v>17</v>
      </c>
      <c r="C26" s="0" t="s">
        <v>15</v>
      </c>
      <c r="D26" s="0" t="s">
        <v>9</v>
      </c>
    </row>
    <row r="27" customFormat="false" ht="15" hidden="false" customHeight="false" outlineLevel="0" collapsed="false">
      <c r="A27" s="0" t="s">
        <v>41</v>
      </c>
      <c r="B27" s="0" t="n">
        <v>19.5</v>
      </c>
      <c r="C27" s="0" t="s">
        <v>15</v>
      </c>
      <c r="D27" s="0" t="s">
        <v>9</v>
      </c>
    </row>
    <row r="28" customFormat="false" ht="15" hidden="false" customHeight="false" outlineLevel="0" collapsed="false">
      <c r="A28" s="0" t="s">
        <v>42</v>
      </c>
      <c r="B28" s="0" t="n">
        <v>22</v>
      </c>
      <c r="C28" s="0" t="s">
        <v>15</v>
      </c>
      <c r="D28" s="0" t="s">
        <v>9</v>
      </c>
    </row>
    <row r="29" customFormat="false" ht="15" hidden="false" customHeight="false" outlineLevel="0" collapsed="false">
      <c r="A29" s="0" t="s">
        <v>43</v>
      </c>
      <c r="B29" s="0" t="n">
        <v>24.5</v>
      </c>
      <c r="C29" s="0" t="s">
        <v>15</v>
      </c>
      <c r="D2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"/>
    <col collapsed="false" customWidth="true" hidden="false" outlineLevel="0" max="4" min="2" style="3" width="15"/>
    <col collapsed="false" customWidth="true" hidden="false" outlineLevel="0" max="6" min="6" style="3" width="35"/>
  </cols>
  <sheetData>
    <row r="1" customFormat="false" ht="15" hidden="false" customHeight="true" outlineLevel="0" collapsed="false">
      <c r="A1" s="4" t="s">
        <v>10</v>
      </c>
      <c r="B1" s="4" t="s">
        <v>44</v>
      </c>
      <c r="C1" s="4" t="s">
        <v>45</v>
      </c>
      <c r="D1" s="4" t="s">
        <v>46</v>
      </c>
      <c r="F1" s="5" t="s">
        <v>47</v>
      </c>
    </row>
    <row r="2" customFormat="false" ht="15" hidden="false" customHeight="true" outlineLevel="0" collapsed="false">
      <c r="A2" s="3" t="s">
        <v>14</v>
      </c>
      <c r="B2" s="6" t="s">
        <v>48</v>
      </c>
      <c r="C2" s="7" t="n">
        <v>3200</v>
      </c>
      <c r="D2" s="3" t="s">
        <v>49</v>
      </c>
      <c r="F2" s="3" t="s">
        <v>50</v>
      </c>
    </row>
    <row r="3" customFormat="false" ht="15" hidden="false" customHeight="true" outlineLevel="0" collapsed="false">
      <c r="A3" s="3" t="s">
        <v>16</v>
      </c>
      <c r="B3" s="6" t="s">
        <v>51</v>
      </c>
      <c r="C3" s="7" t="n">
        <v>5800</v>
      </c>
      <c r="D3" s="3" t="s">
        <v>52</v>
      </c>
      <c r="F3" s="3" t="s">
        <v>53</v>
      </c>
    </row>
    <row r="4" customFormat="false" ht="15" hidden="false" customHeight="true" outlineLevel="0" collapsed="false">
      <c r="A4" s="3" t="s">
        <v>17</v>
      </c>
      <c r="B4" s="6" t="s">
        <v>54</v>
      </c>
      <c r="C4" s="7" t="n">
        <v>1200</v>
      </c>
      <c r="D4" s="3" t="s">
        <v>55</v>
      </c>
      <c r="F4" s="3" t="s">
        <v>56</v>
      </c>
    </row>
    <row r="5" customFormat="false" ht="15" hidden="false" customHeight="true" outlineLevel="0" collapsed="false">
      <c r="A5" s="3" t="s">
        <v>18</v>
      </c>
      <c r="B5" s="6" t="s">
        <v>57</v>
      </c>
      <c r="C5" s="7" t="n">
        <v>5500</v>
      </c>
      <c r="D5" s="3" t="s">
        <v>58</v>
      </c>
      <c r="F5" s="3" t="s">
        <v>59</v>
      </c>
    </row>
    <row r="6" customFormat="false" ht="15" hidden="false" customHeight="true" outlineLevel="0" collapsed="false">
      <c r="A6" s="3" t="s">
        <v>19</v>
      </c>
      <c r="B6" s="6" t="s">
        <v>48</v>
      </c>
      <c r="C6" s="7" t="n">
        <v>4200</v>
      </c>
      <c r="D6" s="3" t="s">
        <v>60</v>
      </c>
    </row>
    <row r="7" customFormat="false" ht="15" hidden="false" customHeight="true" outlineLevel="0" collapsed="false">
      <c r="A7" s="3" t="s">
        <v>20</v>
      </c>
      <c r="B7" s="6" t="s">
        <v>51</v>
      </c>
      <c r="C7" s="7" t="n">
        <v>6100</v>
      </c>
      <c r="D7" s="3" t="s">
        <v>61</v>
      </c>
    </row>
    <row r="8" customFormat="false" ht="15" hidden="false" customHeight="true" outlineLevel="0" collapsed="false">
      <c r="A8" s="3" t="s">
        <v>21</v>
      </c>
      <c r="B8" s="6" t="s">
        <v>54</v>
      </c>
      <c r="C8" s="7" t="n">
        <v>1400</v>
      </c>
      <c r="D8" s="3" t="s">
        <v>62</v>
      </c>
    </row>
    <row r="9" customFormat="false" ht="15" hidden="false" customHeight="true" outlineLevel="0" collapsed="false">
      <c r="A9" s="3" t="s">
        <v>22</v>
      </c>
      <c r="B9" s="6" t="s">
        <v>57</v>
      </c>
      <c r="C9" s="7" t="n">
        <v>4800</v>
      </c>
      <c r="D9" s="3" t="s">
        <v>63</v>
      </c>
    </row>
    <row r="10" customFormat="false" ht="15" hidden="false" customHeight="true" outlineLevel="0" collapsed="false">
      <c r="A10" s="3" t="s">
        <v>23</v>
      </c>
      <c r="B10" s="6" t="s">
        <v>48</v>
      </c>
      <c r="C10" s="7" t="n">
        <v>3800</v>
      </c>
      <c r="D10" s="3" t="s">
        <v>49</v>
      </c>
    </row>
    <row r="11" customFormat="false" ht="15" hidden="false" customHeight="true" outlineLevel="0" collapsed="false">
      <c r="A11" s="3" t="s">
        <v>24</v>
      </c>
      <c r="B11" s="6" t="s">
        <v>54</v>
      </c>
      <c r="C11" s="7" t="n">
        <v>1100</v>
      </c>
      <c r="D11" s="3" t="s">
        <v>64</v>
      </c>
    </row>
    <row r="12" customFormat="false" ht="15" hidden="false" customHeight="true" outlineLevel="0" collapsed="false">
      <c r="A12" s="3" t="s">
        <v>25</v>
      </c>
      <c r="B12" s="6" t="s">
        <v>51</v>
      </c>
      <c r="C12" s="7" t="n">
        <v>5200</v>
      </c>
      <c r="D12" s="3" t="s">
        <v>65</v>
      </c>
    </row>
    <row r="13" customFormat="false" ht="15" hidden="false" customHeight="true" outlineLevel="0" collapsed="false">
      <c r="A13" s="3" t="s">
        <v>26</v>
      </c>
      <c r="B13" s="6" t="s">
        <v>57</v>
      </c>
      <c r="C13" s="7" t="n">
        <v>5900</v>
      </c>
      <c r="D13" s="3" t="s">
        <v>66</v>
      </c>
    </row>
  </sheetData>
  <dataValidations count="1">
    <dataValidation allowBlank="false" error="Invalid ULD Type" errorStyle="stop" errorTitle="ULD Selection Error" operator="between" showDropDown="false" showErrorMessage="false" showInputMessage="false" sqref="B2:B13" type="list">
      <formula1>"LD-3,LD-7,PMC,PAG"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5"/>
    <col collapsed="false" customWidth="true" hidden="false" outlineLevel="0" max="2" min="2" style="3" width="18"/>
    <col collapsed="false" customWidth="true" hidden="false" outlineLevel="0" max="3" min="3" style="3" width="12"/>
    <col collapsed="false" customWidth="true" hidden="false" outlineLevel="0" max="4" min="4" style="0" width="20"/>
  </cols>
  <sheetData>
    <row r="1" customFormat="false" ht="15" hidden="false" customHeight="true" outlineLevel="0" collapsed="false">
      <c r="A1" s="8" t="s">
        <v>44</v>
      </c>
      <c r="B1" s="8" t="s">
        <v>67</v>
      </c>
      <c r="C1" s="8" t="s">
        <v>12</v>
      </c>
      <c r="D1" s="8" t="s">
        <v>68</v>
      </c>
    </row>
    <row r="2" customFormat="false" ht="15" hidden="false" customHeight="true" outlineLevel="0" collapsed="false">
      <c r="A2" s="3" t="s">
        <v>54</v>
      </c>
      <c r="B2" s="3" t="n">
        <v>1588</v>
      </c>
      <c r="C2" s="3" t="s">
        <v>15</v>
      </c>
      <c r="D2" s="0" t="s">
        <v>69</v>
      </c>
    </row>
    <row r="3" customFormat="false" ht="15" hidden="false" customHeight="true" outlineLevel="0" collapsed="false">
      <c r="A3" s="3" t="s">
        <v>48</v>
      </c>
      <c r="B3" s="3" t="n">
        <v>4600</v>
      </c>
      <c r="C3" s="3" t="s">
        <v>32</v>
      </c>
      <c r="D3" s="0" t="s">
        <v>70</v>
      </c>
    </row>
    <row r="4" customFormat="false" ht="15" hidden="false" customHeight="true" outlineLevel="0" collapsed="false">
      <c r="A4" s="3" t="s">
        <v>51</v>
      </c>
      <c r="B4" s="3" t="n">
        <v>6804</v>
      </c>
      <c r="C4" s="3" t="s">
        <v>32</v>
      </c>
      <c r="D4" s="0" t="s">
        <v>70</v>
      </c>
    </row>
    <row r="5" customFormat="false" ht="15" hidden="false" customHeight="true" outlineLevel="0" collapsed="false">
      <c r="A5" s="3" t="s">
        <v>57</v>
      </c>
      <c r="B5" s="3" t="n">
        <v>6000</v>
      </c>
      <c r="C5" s="3" t="s">
        <v>32</v>
      </c>
      <c r="D5" s="0" t="s">
        <v>70</v>
      </c>
    </row>
    <row r="6" customFormat="false" ht="15" hidden="false" customHeight="false" outlineLevel="0" collapsed="false">
      <c r="A6" s="3" t="s">
        <v>71</v>
      </c>
      <c r="B6" s="3" t="n">
        <v>1588</v>
      </c>
      <c r="C6" s="3" t="s">
        <v>15</v>
      </c>
      <c r="D6" s="0" t="s">
        <v>8</v>
      </c>
    </row>
    <row r="7" customFormat="false" ht="15" hidden="false" customHeight="true" outlineLevel="0" collapsed="false">
      <c r="A7" s="9" t="s">
        <v>72</v>
      </c>
      <c r="B7" s="3" t="n">
        <v>1134</v>
      </c>
      <c r="C7" s="3" t="s">
        <v>15</v>
      </c>
      <c r="D7" s="0" t="s">
        <v>8</v>
      </c>
    </row>
    <row r="8" customFormat="false" ht="15" hidden="false" customHeight="false" outlineLevel="0" collapsed="false">
      <c r="A8" s="3" t="s">
        <v>73</v>
      </c>
      <c r="B8" s="3" t="n">
        <v>6033</v>
      </c>
      <c r="C8" s="3" t="s">
        <v>32</v>
      </c>
      <c r="D8" s="0" t="s">
        <v>9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3" width="12"/>
    <col collapsed="false" customWidth="true" hidden="false" outlineLevel="0" max="6" min="3" style="3" width="15"/>
  </cols>
  <sheetData>
    <row r="1" customFormat="false" ht="17.25" hidden="false" customHeight="true" outlineLevel="0" collapsed="false">
      <c r="A1" s="10" t="s">
        <v>74</v>
      </c>
      <c r="B1" s="10"/>
      <c r="C1" s="10"/>
      <c r="D1" s="10"/>
      <c r="E1" s="10"/>
      <c r="F1" s="10"/>
    </row>
    <row r="3" customFormat="false" ht="15" hidden="false" customHeight="true" outlineLevel="0" collapsed="false">
      <c r="A3" s="1" t="s">
        <v>10</v>
      </c>
      <c r="B3" s="1" t="s">
        <v>44</v>
      </c>
      <c r="C3" s="1" t="s">
        <v>75</v>
      </c>
      <c r="D3" s="1" t="s">
        <v>76</v>
      </c>
      <c r="E3" s="1" t="s">
        <v>77</v>
      </c>
      <c r="F3" s="1" t="s">
        <v>78</v>
      </c>
    </row>
    <row r="4" customFormat="false" ht="15" hidden="false" customHeight="true" outlineLevel="0" collapsed="false">
      <c r="A4" s="3" t="str">
        <f aca="false">'ULD LOAD INPUT'!A2</f>
        <v>A1</v>
      </c>
      <c r="B4" s="3" t="str">
        <f aca="false">'ULD LOAD INPUT'!B2</f>
        <v>LD-7</v>
      </c>
      <c r="C4" s="3" t="n">
        <f aca="false">'ULD LOAD INPUT'!C2</f>
        <v>3200</v>
      </c>
      <c r="D4" s="3" t="n">
        <f aca="false">INDEX('ULD MASTER TABLE'!$B$2:$B$5,MATCH(B4,'ULD MASTER TABLE'!$A$2:$A$5,0))</f>
        <v>4600</v>
      </c>
      <c r="E4" s="11" t="n">
        <f aca="false">IF(D4=0,0,C4/D4)</f>
        <v>0.695652173913044</v>
      </c>
      <c r="F4" s="3" t="str">
        <f aca="false">IF(C4&gt;D4,"OVERLOAD",IF(C4&gt;=D4*0.9,"NEAR LIMIT","SAFE"))</f>
        <v>SAFE</v>
      </c>
    </row>
    <row r="5" customFormat="false" ht="15" hidden="false" customHeight="true" outlineLevel="0" collapsed="false">
      <c r="A5" s="3" t="str">
        <f aca="false">'ULD LOAD INPUT'!A3</f>
        <v>A2</v>
      </c>
      <c r="B5" s="3" t="str">
        <f aca="false">'ULD LOAD INPUT'!B3</f>
        <v>PMC</v>
      </c>
      <c r="C5" s="3" t="n">
        <f aca="false">'ULD LOAD INPUT'!C3</f>
        <v>5800</v>
      </c>
      <c r="D5" s="3" t="n">
        <f aca="false">INDEX('ULD MASTER TABLE'!$B$2:$B$5,MATCH(B5,'ULD MASTER TABLE'!$A$2:$A$5,0))</f>
        <v>6804</v>
      </c>
      <c r="E5" s="11" t="n">
        <f aca="false">IF(D5=0,0,C5/D5)</f>
        <v>0.85243974132863</v>
      </c>
      <c r="F5" s="3" t="str">
        <f aca="false">IF(C5&gt;D5,"OVERLOAD",IF(C5&gt;=D5*0.9,"NEAR LIMIT","SAFE"))</f>
        <v>SAFE</v>
      </c>
    </row>
    <row r="6" customFormat="false" ht="15" hidden="false" customHeight="true" outlineLevel="0" collapsed="false">
      <c r="A6" s="3" t="str">
        <f aca="false">'ULD LOAD INPUT'!A4</f>
        <v>B1</v>
      </c>
      <c r="B6" s="3" t="str">
        <f aca="false">'ULD LOAD INPUT'!B4</f>
        <v>LD-3</v>
      </c>
      <c r="C6" s="3" t="n">
        <f aca="false">'ULD LOAD INPUT'!C4</f>
        <v>1200</v>
      </c>
      <c r="D6" s="3" t="n">
        <f aca="false">INDEX('ULD MASTER TABLE'!$B$2:$B$5,MATCH(B6,'ULD MASTER TABLE'!$A$2:$A$5,0))</f>
        <v>1588</v>
      </c>
      <c r="E6" s="11" t="n">
        <f aca="false">IF(D6=0,0,C6/D6)</f>
        <v>0.755667506297229</v>
      </c>
      <c r="F6" s="3" t="str">
        <f aca="false">IF(C6&gt;D6,"OVERLOAD",IF(C6&gt;=D6*0.9,"NEAR LIMIT","SAFE"))</f>
        <v>SAFE</v>
      </c>
    </row>
    <row r="7" customFormat="false" ht="15" hidden="false" customHeight="true" outlineLevel="0" collapsed="false">
      <c r="A7" s="3" t="str">
        <f aca="false">'ULD LOAD INPUT'!A5</f>
        <v>B2</v>
      </c>
      <c r="B7" s="3" t="str">
        <f aca="false">'ULD LOAD INPUT'!B5</f>
        <v>PAG</v>
      </c>
      <c r="C7" s="3" t="n">
        <f aca="false">'ULD LOAD INPUT'!C5</f>
        <v>5500</v>
      </c>
      <c r="D7" s="3" t="n">
        <f aca="false">INDEX('ULD MASTER TABLE'!$B$2:$B$5,MATCH(B7,'ULD MASTER TABLE'!$A$2:$A$5,0))</f>
        <v>6000</v>
      </c>
      <c r="E7" s="11" t="n">
        <f aca="false">IF(D7=0,0,C7/D7)</f>
        <v>0.916666666666667</v>
      </c>
      <c r="F7" s="3" t="str">
        <f aca="false">IF(C7&gt;D7,"OVERLOAD",IF(C7&gt;=D7*0.9,"NEAR LIMIT","SAFE"))</f>
        <v>NEAR LIMIT</v>
      </c>
    </row>
    <row r="8" customFormat="false" ht="15" hidden="false" customHeight="true" outlineLevel="0" collapsed="false">
      <c r="A8" s="3" t="str">
        <f aca="false">'ULD LOAD INPUT'!A6</f>
        <v>C1</v>
      </c>
      <c r="B8" s="3" t="str">
        <f aca="false">'ULD LOAD INPUT'!B6</f>
        <v>LD-7</v>
      </c>
      <c r="C8" s="3" t="n">
        <f aca="false">'ULD LOAD INPUT'!C6</f>
        <v>4200</v>
      </c>
      <c r="D8" s="3" t="n">
        <f aca="false">INDEX('ULD MASTER TABLE'!$B$2:$B$5,MATCH(B8,'ULD MASTER TABLE'!$A$2:$A$5,0))</f>
        <v>4600</v>
      </c>
      <c r="E8" s="11" t="n">
        <f aca="false">IF(D8=0,0,C8/D8)</f>
        <v>0.91304347826087</v>
      </c>
      <c r="F8" s="3" t="str">
        <f aca="false">IF(C8&gt;D8,"OVERLOAD",IF(C8&gt;=D8*0.9,"NEAR LIMIT","SAFE"))</f>
        <v>NEAR LIMIT</v>
      </c>
    </row>
    <row r="9" customFormat="false" ht="15" hidden="false" customHeight="true" outlineLevel="0" collapsed="false">
      <c r="A9" s="3" t="str">
        <f aca="false">'ULD LOAD INPUT'!A7</f>
        <v>C2</v>
      </c>
      <c r="B9" s="3" t="str">
        <f aca="false">'ULD LOAD INPUT'!B7</f>
        <v>PMC</v>
      </c>
      <c r="C9" s="3" t="n">
        <f aca="false">'ULD LOAD INPUT'!C7</f>
        <v>6100</v>
      </c>
      <c r="D9" s="3" t="n">
        <f aca="false">INDEX('ULD MASTER TABLE'!$B$2:$B$5,MATCH(B9,'ULD MASTER TABLE'!$A$2:$A$5,0))</f>
        <v>6804</v>
      </c>
      <c r="E9" s="11" t="n">
        <f aca="false">IF(D9=0,0,C9/D9)</f>
        <v>0.896531452087008</v>
      </c>
      <c r="F9" s="3" t="str">
        <f aca="false">IF(C9&gt;D9,"OVERLOAD",IF(C9&gt;=D9*0.9,"NEAR LIMIT","SAFE"))</f>
        <v>SAFE</v>
      </c>
    </row>
    <row r="10" customFormat="false" ht="15" hidden="false" customHeight="true" outlineLevel="0" collapsed="false">
      <c r="A10" s="3" t="str">
        <f aca="false">'ULD LOAD INPUT'!A8</f>
        <v>D1</v>
      </c>
      <c r="B10" s="3" t="str">
        <f aca="false">'ULD LOAD INPUT'!B8</f>
        <v>LD-3</v>
      </c>
      <c r="C10" s="3" t="n">
        <f aca="false">'ULD LOAD INPUT'!C8</f>
        <v>1400</v>
      </c>
      <c r="D10" s="3" t="n">
        <f aca="false">INDEX('ULD MASTER TABLE'!$B$2:$B$5,MATCH(B10,'ULD MASTER TABLE'!$A$2:$A$5,0))</f>
        <v>1588</v>
      </c>
      <c r="E10" s="11" t="n">
        <f aca="false">IF(D10=0,0,C10/D10)</f>
        <v>0.881612090680101</v>
      </c>
      <c r="F10" s="3" t="str">
        <f aca="false">IF(C10&gt;D10,"OVERLOAD",IF(C10&gt;=D10*0.9,"NEAR LIMIT","SAFE"))</f>
        <v>SAFE</v>
      </c>
    </row>
    <row r="11" customFormat="false" ht="15" hidden="false" customHeight="true" outlineLevel="0" collapsed="false">
      <c r="A11" s="3" t="str">
        <f aca="false">'ULD LOAD INPUT'!A9</f>
        <v>D2</v>
      </c>
      <c r="B11" s="3" t="str">
        <f aca="false">'ULD LOAD INPUT'!B9</f>
        <v>PAG</v>
      </c>
      <c r="C11" s="3" t="n">
        <f aca="false">'ULD LOAD INPUT'!C9</f>
        <v>4800</v>
      </c>
      <c r="D11" s="3" t="n">
        <f aca="false">INDEX('ULD MASTER TABLE'!$B$2:$B$5,MATCH(B11,'ULD MASTER TABLE'!$A$2:$A$5,0))</f>
        <v>6000</v>
      </c>
      <c r="E11" s="11" t="n">
        <f aca="false">IF(D11=0,0,C11/D11)</f>
        <v>0.8</v>
      </c>
      <c r="F11" s="3" t="str">
        <f aca="false">IF(C11&gt;D11,"OVERLOAD",IF(C11&gt;=D11*0.9,"NEAR LIMIT","SAFE"))</f>
        <v>SAFE</v>
      </c>
    </row>
    <row r="12" customFormat="false" ht="15" hidden="false" customHeight="true" outlineLevel="0" collapsed="false">
      <c r="A12" s="3" t="str">
        <f aca="false">'ULD LOAD INPUT'!A10</f>
        <v>E1</v>
      </c>
      <c r="B12" s="3" t="str">
        <f aca="false">'ULD LOAD INPUT'!B10</f>
        <v>LD-7</v>
      </c>
      <c r="C12" s="3" t="n">
        <f aca="false">'ULD LOAD INPUT'!C10</f>
        <v>3800</v>
      </c>
      <c r="D12" s="3" t="n">
        <f aca="false">INDEX('ULD MASTER TABLE'!$B$2:$B$5,MATCH(B12,'ULD MASTER TABLE'!$A$2:$A$5,0))</f>
        <v>4600</v>
      </c>
      <c r="E12" s="11" t="n">
        <f aca="false">IF(D12=0,0,C12/D12)</f>
        <v>0.826086956521739</v>
      </c>
      <c r="F12" s="3" t="str">
        <f aca="false">IF(C12&gt;D12,"OVERLOAD",IF(C12&gt;=D12*0.9,"NEAR LIMIT","SAFE"))</f>
        <v>SAFE</v>
      </c>
    </row>
    <row r="13" customFormat="false" ht="15" hidden="false" customHeight="true" outlineLevel="0" collapsed="false">
      <c r="A13" s="3" t="str">
        <f aca="false">'ULD LOAD INPUT'!A11</f>
        <v>E2</v>
      </c>
      <c r="B13" s="3" t="str">
        <f aca="false">'ULD LOAD INPUT'!B11</f>
        <v>LD-3</v>
      </c>
      <c r="C13" s="3" t="n">
        <f aca="false">'ULD LOAD INPUT'!C11</f>
        <v>1100</v>
      </c>
      <c r="D13" s="3" t="n">
        <f aca="false">INDEX('ULD MASTER TABLE'!$B$2:$B$5,MATCH(B13,'ULD MASTER TABLE'!$A$2:$A$5,0))</f>
        <v>1588</v>
      </c>
      <c r="E13" s="11" t="n">
        <f aca="false">IF(D13=0,0,C13/D13)</f>
        <v>0.692695214105794</v>
      </c>
      <c r="F13" s="3" t="str">
        <f aca="false">IF(C13&gt;D13,"OVERLOAD",IF(C13&gt;=D13*0.9,"NEAR LIMIT","SAFE"))</f>
        <v>SAFE</v>
      </c>
    </row>
    <row r="14" customFormat="false" ht="15" hidden="false" customHeight="true" outlineLevel="0" collapsed="false">
      <c r="A14" s="3" t="str">
        <f aca="false">'ULD LOAD INPUT'!A12</f>
        <v>F1</v>
      </c>
      <c r="B14" s="3" t="str">
        <f aca="false">'ULD LOAD INPUT'!B12</f>
        <v>PMC</v>
      </c>
      <c r="C14" s="3" t="n">
        <f aca="false">'ULD LOAD INPUT'!C12</f>
        <v>5200</v>
      </c>
      <c r="D14" s="3" t="n">
        <f aca="false">INDEX('ULD MASTER TABLE'!$B$2:$B$5,MATCH(B14,'ULD MASTER TABLE'!$A$2:$A$5,0))</f>
        <v>6804</v>
      </c>
      <c r="E14" s="11" t="n">
        <f aca="false">IF(D14=0,0,C14/D14)</f>
        <v>0.764256319811875</v>
      </c>
      <c r="F14" s="3" t="str">
        <f aca="false">IF(C14&gt;D14,"OVERLOAD",IF(C14&gt;=D14*0.9,"NEAR LIMIT","SAFE"))</f>
        <v>SAFE</v>
      </c>
    </row>
    <row r="15" customFormat="false" ht="15" hidden="false" customHeight="true" outlineLevel="0" collapsed="false">
      <c r="A15" s="3" t="str">
        <f aca="false">'ULD LOAD INPUT'!A13</f>
        <v>F2</v>
      </c>
      <c r="B15" s="3" t="str">
        <f aca="false">'ULD LOAD INPUT'!B13</f>
        <v>PAG</v>
      </c>
      <c r="C15" s="3" t="n">
        <f aca="false">'ULD LOAD INPUT'!C13</f>
        <v>5900</v>
      </c>
      <c r="D15" s="3" t="n">
        <f aca="false">INDEX('ULD MASTER TABLE'!$B$2:$B$5,MATCH(B15,'ULD MASTER TABLE'!$A$2:$A$5,0))</f>
        <v>6000</v>
      </c>
      <c r="E15" s="11" t="n">
        <f aca="false">IF(D15=0,0,C15/D15)</f>
        <v>0.983333333333333</v>
      </c>
      <c r="F15" s="3" t="str">
        <f aca="false">IF(C15&gt;D15,"OVERLOAD",IF(C15&gt;=D15*0.9,"NEAR LIMIT","SAFE"))</f>
        <v>NEAR LIMIT</v>
      </c>
    </row>
  </sheetData>
  <sheetProtection sheet="true"/>
  <mergeCells count="1">
    <mergeCell ref="A1:F1"/>
  </mergeCells>
  <conditionalFormatting sqref="F4:F15">
    <cfRule type="cellIs" priority="2" operator="equal" aboveAverage="0" equalAverage="0" bottom="0" percent="0" rank="0" text="" dxfId="0">
      <formula>"OVERLOAD"</formula>
    </cfRule>
    <cfRule type="cellIs" priority="3" operator="equal" aboveAverage="0" equalAverage="0" bottom="0" percent="0" rank="0" text="" dxfId="1">
      <formula>"NEAR LIMIT"</formula>
    </cfRule>
    <cfRule type="cellIs" priority="4" operator="equal" aboveAverage="0" equalAverage="0" bottom="0" percent="0" rank="0" text="" dxfId="2">
      <formula>"SAFE"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3" width="12"/>
    <col collapsed="false" customWidth="true" hidden="false" outlineLevel="0" max="4" min="4" style="3" width="15"/>
    <col collapsed="false" customWidth="true" hidden="false" outlineLevel="0" max="5" min="5" style="3" width="18"/>
  </cols>
  <sheetData>
    <row r="1" customFormat="false" ht="17.25" hidden="false" customHeight="true" outlineLevel="0" collapsed="false">
      <c r="A1" s="12" t="s">
        <v>79</v>
      </c>
      <c r="B1" s="12"/>
      <c r="C1" s="12"/>
      <c r="D1" s="12"/>
      <c r="E1" s="12"/>
    </row>
    <row r="3" customFormat="false" ht="15" hidden="false" customHeight="true" outlineLevel="0" collapsed="false">
      <c r="A3" s="13" t="s">
        <v>10</v>
      </c>
      <c r="B3" s="13" t="s">
        <v>44</v>
      </c>
      <c r="C3" s="13" t="s">
        <v>11</v>
      </c>
      <c r="D3" s="13" t="s">
        <v>45</v>
      </c>
      <c r="E3" s="13" t="s">
        <v>80</v>
      </c>
    </row>
    <row r="4" customFormat="false" ht="15" hidden="false" customHeight="true" outlineLevel="0" collapsed="false">
      <c r="A4" s="3" t="str">
        <f aca="false">'ULD LOAD INPUT'!A2</f>
        <v>A1</v>
      </c>
      <c r="B4" s="3" t="str">
        <f aca="false">'ULD LOAD INPUT'!B2</f>
        <v>LD-7</v>
      </c>
      <c r="C4" s="3" t="n">
        <f aca="false">IFERROR(
        SUMPRODUCT(
            ('POSITION CONFIGURATIONS'!$A$2:$A$50=A4)*
            ('POSITION CONFIGURATIONS'!$D$2:$D$50='AIRCRAFT LOAD &amp; TRIM SHEET'!$I$3)*
            'POSITION CONFIGURATIONS'!$B$2:$B$50
        ),
        0
    )</f>
        <v>12.5</v>
      </c>
      <c r="D4" s="3" t="n">
        <f aca="false">'ULD LOAD INPUT'!C2</f>
        <v>3200</v>
      </c>
      <c r="E4" s="3" t="n">
        <f aca="false">D4*C4</f>
        <v>40000</v>
      </c>
    </row>
    <row r="5" customFormat="false" ht="15" hidden="false" customHeight="true" outlineLevel="0" collapsed="false">
      <c r="A5" s="3" t="str">
        <f aca="false">'ULD LOAD INPUT'!A3</f>
        <v>A2</v>
      </c>
      <c r="B5" s="3" t="str">
        <f aca="false">'ULD LOAD INPUT'!B3</f>
        <v>PMC</v>
      </c>
      <c r="C5" s="3" t="n">
        <f aca="false">IFERROR(
        SUMPRODUCT(
            ('POSITION CONFIGURATIONS'!$A$2:$A$50=A5)*
            ('POSITION CONFIGURATIONS'!$D$2:$D$50='AIRCRAFT LOAD &amp; TRIM SHEET'!$I$3)*
            'POSITION CONFIGURATIONS'!$B$2:$B$50
        ),
        0
    )</f>
        <v>13</v>
      </c>
      <c r="D5" s="3" t="n">
        <f aca="false">'ULD LOAD INPUT'!C3</f>
        <v>5800</v>
      </c>
      <c r="E5" s="3" t="n">
        <f aca="false">D5*C5</f>
        <v>75400</v>
      </c>
    </row>
    <row r="6" customFormat="false" ht="15" hidden="false" customHeight="true" outlineLevel="0" collapsed="false">
      <c r="A6" s="3" t="str">
        <f aca="false">'ULD LOAD INPUT'!A4</f>
        <v>B1</v>
      </c>
      <c r="B6" s="3" t="str">
        <f aca="false">'ULD LOAD INPUT'!B4</f>
        <v>LD-3</v>
      </c>
      <c r="C6" s="3" t="n">
        <f aca="false">IFERROR(
        SUMPRODUCT(
            ('POSITION CONFIGURATIONS'!$A$2:$A$50=A6)*
            ('POSITION CONFIGURATIONS'!$D$2:$D$50='AIRCRAFT LOAD &amp; TRIM SHEET'!$I$3)*
            'POSITION CONFIGURATIONS'!$B$2:$B$50
        ),
        0
    )</f>
        <v>16</v>
      </c>
      <c r="D6" s="3" t="n">
        <f aca="false">'ULD LOAD INPUT'!C4</f>
        <v>1200</v>
      </c>
      <c r="E6" s="3" t="n">
        <f aca="false">D6*C6</f>
        <v>19200</v>
      </c>
    </row>
    <row r="7" customFormat="false" ht="15" hidden="false" customHeight="true" outlineLevel="0" collapsed="false">
      <c r="A7" s="3" t="str">
        <f aca="false">'ULD LOAD INPUT'!A5</f>
        <v>B2</v>
      </c>
      <c r="B7" s="3" t="str">
        <f aca="false">'ULD LOAD INPUT'!B5</f>
        <v>PAG</v>
      </c>
      <c r="C7" s="3" t="n">
        <f aca="false">IFERROR(
        SUMPRODUCT(
            ('POSITION CONFIGURATIONS'!$A$2:$A$50=A7)*
            ('POSITION CONFIGURATIONS'!$D$2:$D$50='AIRCRAFT LOAD &amp; TRIM SHEET'!$I$3)*
            'POSITION CONFIGURATIONS'!$B$2:$B$50
        ),
        0
    )</f>
        <v>16.5</v>
      </c>
      <c r="D7" s="3" t="n">
        <f aca="false">'ULD LOAD INPUT'!C5</f>
        <v>5500</v>
      </c>
      <c r="E7" s="3" t="n">
        <f aca="false">D7*C7</f>
        <v>90750</v>
      </c>
    </row>
    <row r="8" customFormat="false" ht="15" hidden="false" customHeight="true" outlineLevel="0" collapsed="false">
      <c r="A8" s="3" t="str">
        <f aca="false">'ULD LOAD INPUT'!A6</f>
        <v>C1</v>
      </c>
      <c r="B8" s="3" t="str">
        <f aca="false">'ULD LOAD INPUT'!B6</f>
        <v>LD-7</v>
      </c>
      <c r="C8" s="3" t="n">
        <f aca="false">IFERROR(
        SUMPRODUCT(
            ('POSITION CONFIGURATIONS'!$A$2:$A$50=A8)*
            ('POSITION CONFIGURATIONS'!$D$2:$D$50='AIRCRAFT LOAD &amp; TRIM SHEET'!$I$3)*
            'POSITION CONFIGURATIONS'!$B$2:$B$50
        ),
        0
    )</f>
        <v>19.5</v>
      </c>
      <c r="D8" s="3" t="n">
        <f aca="false">'ULD LOAD INPUT'!C6</f>
        <v>4200</v>
      </c>
      <c r="E8" s="3" t="n">
        <f aca="false">D8*C8</f>
        <v>81900</v>
      </c>
    </row>
    <row r="9" customFormat="false" ht="15" hidden="false" customHeight="true" outlineLevel="0" collapsed="false">
      <c r="A9" s="3" t="str">
        <f aca="false">'ULD LOAD INPUT'!A7</f>
        <v>C2</v>
      </c>
      <c r="B9" s="3" t="str">
        <f aca="false">'ULD LOAD INPUT'!B7</f>
        <v>PMC</v>
      </c>
      <c r="C9" s="3" t="n">
        <f aca="false">IFERROR(
        SUMPRODUCT(
            ('POSITION CONFIGURATIONS'!$A$2:$A$50=A9)*
            ('POSITION CONFIGURATIONS'!$D$2:$D$50='AIRCRAFT LOAD &amp; TRIM SHEET'!$I$3)*
            'POSITION CONFIGURATIONS'!$B$2:$B$50
        ),
        0
    )</f>
        <v>20</v>
      </c>
      <c r="D9" s="3" t="n">
        <f aca="false">'ULD LOAD INPUT'!C7</f>
        <v>6100</v>
      </c>
      <c r="E9" s="3" t="n">
        <f aca="false">D9*C9</f>
        <v>122000</v>
      </c>
    </row>
    <row r="10" customFormat="false" ht="15" hidden="false" customHeight="true" outlineLevel="0" collapsed="false">
      <c r="A10" s="3" t="str">
        <f aca="false">'ULD LOAD INPUT'!A8</f>
        <v>D1</v>
      </c>
      <c r="B10" s="3" t="str">
        <f aca="false">'ULD LOAD INPUT'!B8</f>
        <v>LD-3</v>
      </c>
      <c r="C10" s="3" t="n">
        <f aca="false">IFERROR(
        SUMPRODUCT(
            ('POSITION CONFIGURATIONS'!$A$2:$A$50=A10)*
            ('POSITION CONFIGURATIONS'!$D$2:$D$50='AIRCRAFT LOAD &amp; TRIM SHEET'!$I$3)*
            'POSITION CONFIGURATIONS'!$B$2:$B$50
        ),
        0
    )</f>
        <v>23</v>
      </c>
      <c r="D10" s="3" t="n">
        <f aca="false">'ULD LOAD INPUT'!C8</f>
        <v>1400</v>
      </c>
      <c r="E10" s="3" t="n">
        <f aca="false">D10*C10</f>
        <v>32200</v>
      </c>
    </row>
    <row r="11" customFormat="false" ht="15" hidden="false" customHeight="true" outlineLevel="0" collapsed="false">
      <c r="A11" s="3" t="str">
        <f aca="false">'ULD LOAD INPUT'!A9</f>
        <v>D2</v>
      </c>
      <c r="B11" s="3" t="str">
        <f aca="false">'ULD LOAD INPUT'!B9</f>
        <v>PAG</v>
      </c>
      <c r="C11" s="3" t="n">
        <f aca="false">IFERROR(
        SUMPRODUCT(
            ('POSITION CONFIGURATIONS'!$A$2:$A$50=A11)*
            ('POSITION CONFIGURATIONS'!$D$2:$D$50='AIRCRAFT LOAD &amp; TRIM SHEET'!$I$3)*
            'POSITION CONFIGURATIONS'!$B$2:$B$50
        ),
        0
    )</f>
        <v>23.5</v>
      </c>
      <c r="D11" s="3" t="n">
        <f aca="false">'ULD LOAD INPUT'!C9</f>
        <v>4800</v>
      </c>
      <c r="E11" s="3" t="n">
        <f aca="false">D11*C11</f>
        <v>112800</v>
      </c>
    </row>
    <row r="12" customFormat="false" ht="15" hidden="false" customHeight="true" outlineLevel="0" collapsed="false">
      <c r="A12" s="3" t="str">
        <f aca="false">'ULD LOAD INPUT'!A10</f>
        <v>E1</v>
      </c>
      <c r="B12" s="3" t="str">
        <f aca="false">'ULD LOAD INPUT'!B10</f>
        <v>LD-7</v>
      </c>
      <c r="C12" s="3" t="n">
        <f aca="false">IFERROR(
        SUMPRODUCT(
            ('POSITION CONFIGURATIONS'!$A$2:$A$50=A12)*
            ('POSITION CONFIGURATIONS'!$D$2:$D$50='AIRCRAFT LOAD &amp; TRIM SHEET'!$I$3)*
            'POSITION CONFIGURATIONS'!$B$2:$B$50
        ),
        0
    )</f>
        <v>27</v>
      </c>
      <c r="D12" s="3" t="n">
        <f aca="false">'ULD LOAD INPUT'!C10</f>
        <v>3800</v>
      </c>
      <c r="E12" s="3" t="n">
        <f aca="false">D12*C12</f>
        <v>102600</v>
      </c>
    </row>
    <row r="13" customFormat="false" ht="15" hidden="false" customHeight="true" outlineLevel="0" collapsed="false">
      <c r="A13" s="3" t="str">
        <f aca="false">'ULD LOAD INPUT'!A11</f>
        <v>E2</v>
      </c>
      <c r="B13" s="3" t="str">
        <f aca="false">'ULD LOAD INPUT'!B11</f>
        <v>LD-3</v>
      </c>
      <c r="C13" s="3" t="n">
        <f aca="false">IFERROR(
        SUMPRODUCT(
            ('POSITION CONFIGURATIONS'!$A$2:$A$50=A13)*
            ('POSITION CONFIGURATIONS'!$D$2:$D$50='AIRCRAFT LOAD &amp; TRIM SHEET'!$I$3)*
            'POSITION CONFIGURATIONS'!$B$2:$B$50
        ),
        0
    )</f>
        <v>27.5</v>
      </c>
      <c r="D13" s="3" t="n">
        <f aca="false">'ULD LOAD INPUT'!C11</f>
        <v>1100</v>
      </c>
      <c r="E13" s="3" t="n">
        <f aca="false">D13*C13</f>
        <v>30250</v>
      </c>
    </row>
    <row r="14" customFormat="false" ht="15" hidden="false" customHeight="true" outlineLevel="0" collapsed="false">
      <c r="A14" s="3" t="str">
        <f aca="false">'ULD LOAD INPUT'!A12</f>
        <v>F1</v>
      </c>
      <c r="B14" s="3" t="str">
        <f aca="false">'ULD LOAD INPUT'!B12</f>
        <v>PMC</v>
      </c>
      <c r="C14" s="3" t="n">
        <f aca="false">IFERROR(
        SUMPRODUCT(
            ('POSITION CONFIGURATIONS'!$A$2:$A$50=A14)*
            ('POSITION CONFIGURATIONS'!$D$2:$D$50='AIRCRAFT LOAD &amp; TRIM SHEET'!$I$3)*
            'POSITION CONFIGURATIONS'!$B$2:$B$50
        ),
        0
    )</f>
        <v>31</v>
      </c>
      <c r="D14" s="3" t="n">
        <f aca="false">'ULD LOAD INPUT'!C12</f>
        <v>5200</v>
      </c>
      <c r="E14" s="3" t="n">
        <f aca="false">D14*C14</f>
        <v>161200</v>
      </c>
    </row>
    <row r="15" customFormat="false" ht="15" hidden="false" customHeight="true" outlineLevel="0" collapsed="false">
      <c r="A15" s="3" t="str">
        <f aca="false">'ULD LOAD INPUT'!A13</f>
        <v>F2</v>
      </c>
      <c r="B15" s="3" t="str">
        <f aca="false">'ULD LOAD INPUT'!B13</f>
        <v>PAG</v>
      </c>
      <c r="C15" s="3" t="n">
        <f aca="false">IFERROR(
        SUMPRODUCT(
            ('POSITION CONFIGURATIONS'!$A$2:$A$50=A15)*
            ('POSITION CONFIGURATIONS'!$D$2:$D$50='AIRCRAFT LOAD &amp; TRIM SHEET'!$I$3)*
            'POSITION CONFIGURATIONS'!$B$2:$B$50
        ),
        0
    )</f>
        <v>31.5</v>
      </c>
      <c r="D15" s="3" t="n">
        <f aca="false">'ULD LOAD INPUT'!C13</f>
        <v>5900</v>
      </c>
      <c r="E15" s="3" t="n">
        <f aca="false">D15*C15</f>
        <v>185850</v>
      </c>
    </row>
    <row r="17" customFormat="false" ht="15" hidden="false" customHeight="true" outlineLevel="0" collapsed="false">
      <c r="C17" s="14" t="s">
        <v>81</v>
      </c>
      <c r="D17" s="15" t="n">
        <f aca="false">SUM(D4:D16)</f>
        <v>48200</v>
      </c>
      <c r="E17" s="15" t="n">
        <f aca="false">SUM(E4:E16)</f>
        <v>1054150</v>
      </c>
    </row>
  </sheetData>
  <sheetProtection sheet="true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8"/>
    <col collapsed="false" customWidth="true" hidden="false" outlineLevel="0" max="2" min="2" style="3" width="35"/>
  </cols>
  <sheetData>
    <row r="1" customFormat="false" ht="17.25" hidden="false" customHeight="true" outlineLevel="0" collapsed="false">
      <c r="A1" s="10" t="s">
        <v>82</v>
      </c>
      <c r="B1" s="10"/>
      <c r="C1" s="10"/>
      <c r="D1" s="10"/>
    </row>
    <row r="3" customFormat="false" ht="15" hidden="false" customHeight="true" outlineLevel="0" collapsed="false">
      <c r="A3" s="16" t="s">
        <v>83</v>
      </c>
    </row>
    <row r="4" customFormat="false" ht="15" hidden="false" customHeight="true" outlineLevel="0" collapsed="false">
      <c r="A4" s="3" t="s">
        <v>84</v>
      </c>
      <c r="B4" s="7" t="str">
        <f aca="false">'AIRCRAFT LOAD &amp; TRIM SHEET'!I3</f>
        <v>A320</v>
      </c>
    </row>
    <row r="6" customFormat="false" ht="15" hidden="false" customHeight="true" outlineLevel="0" collapsed="false">
      <c r="A6" s="16" t="s">
        <v>85</v>
      </c>
    </row>
    <row r="7" customFormat="false" ht="15" hidden="false" customHeight="true" outlineLevel="0" collapsed="false">
      <c r="A7" s="3" t="s">
        <v>86</v>
      </c>
      <c r="B7" s="7" t="n">
        <f aca="false">INDEX('AIRCRAFT MODELS'!E:E,MATCH('AIRCRAFT LOAD &amp; TRIM SHEET'!I3,'AIRCRAFT MODELS'!A:A,0))</f>
        <v>14</v>
      </c>
    </row>
    <row r="8" customFormat="false" ht="15" hidden="false" customHeight="true" outlineLevel="0" collapsed="false">
      <c r="A8" s="3" t="s">
        <v>87</v>
      </c>
      <c r="B8" s="7" t="n">
        <f aca="false">INDEX('AIRCRAFT MODELS'!F:F,MATCH('AIRCRAFT LOAD &amp; TRIM SHEET'!I3,'AIRCRAFT MODELS'!A:A,0))</f>
        <v>28</v>
      </c>
    </row>
    <row r="11" customFormat="false" ht="15" hidden="false" customHeight="true" outlineLevel="0" collapsed="false">
      <c r="A11" s="16" t="s">
        <v>88</v>
      </c>
    </row>
    <row r="12" customFormat="false" ht="15" hidden="false" customHeight="true" outlineLevel="0" collapsed="false">
      <c r="A12" s="3" t="s">
        <v>89</v>
      </c>
      <c r="B12" s="17" t="n">
        <f aca="false">'ARM &amp; MOMENT COMPUTATION'!D17</f>
        <v>48200</v>
      </c>
    </row>
    <row r="13" customFormat="false" ht="15" hidden="false" customHeight="true" outlineLevel="0" collapsed="false">
      <c r="A13" s="3" t="s">
        <v>90</v>
      </c>
      <c r="B13" s="18" t="n">
        <f aca="false">'ARM &amp; MOMENT COMPUTATION'!E17</f>
        <v>1054150</v>
      </c>
    </row>
    <row r="15" customFormat="false" ht="17.25" hidden="false" customHeight="true" outlineLevel="0" collapsed="false">
      <c r="A15" s="16" t="s">
        <v>91</v>
      </c>
      <c r="B15" s="19" t="n">
        <f aca="false">IF(B12=0,0,B13/B12)</f>
        <v>21.8703319502075</v>
      </c>
    </row>
    <row r="18" customFormat="false" ht="15" hidden="false" customHeight="true" outlineLevel="0" collapsed="false">
      <c r="A18" s="16" t="s">
        <v>92</v>
      </c>
    </row>
    <row r="19" customFormat="false" ht="15" hidden="false" customHeight="true" outlineLevel="0" collapsed="false">
      <c r="A19" s="3" t="s">
        <v>93</v>
      </c>
      <c r="B19" s="15" t="str">
        <f aca="false">IF(B15&lt;B7,"⚠ FORWARD CG LIMIT EXCEEDED",IF(B15&gt;B8,"⚠ AFT CG LIMIT EXCEEDED","✓ CG WITHIN SAFE ENVELOPE"))</f>
        <v>✓ CG WITHIN SAFE ENVELOPE</v>
      </c>
    </row>
    <row r="21" customFormat="false" ht="15" hidden="false" customHeight="true" outlineLevel="0" collapsed="false">
      <c r="A21" s="3" t="s">
        <v>94</v>
      </c>
      <c r="B21" s="16" t="str">
        <f aca="false">IF(COUNTIF('CARGO HOLD VISUAL LAYOUT'!F:F,"OVERLOAD")&gt;0,"✖ NOT SAFE - OVERLOAD DETECTED",IF(OR(B15&lt;B7,B15&gt;B8),"✖ NOT SAFE - CG OUT OF LIMITS","✓ SAFE FOR FLIGHT"))</f>
        <v>✓ SAFE FOR FLIGHT</v>
      </c>
    </row>
  </sheetData>
  <sheetProtection sheet="true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3"/>
    <col collapsed="false" customWidth="true" hidden="false" outlineLevel="0" max="2" min="2" style="3" width="10"/>
    <col collapsed="false" customWidth="true" hidden="false" outlineLevel="0" max="4" min="3" style="3" width="12"/>
    <col collapsed="false" customWidth="true" hidden="false" outlineLevel="0" max="8" min="5" style="3" width="5"/>
    <col collapsed="false" customWidth="true" hidden="false" outlineLevel="0" max="9" min="9" style="3" width="3"/>
    <col collapsed="false" customWidth="true" hidden="false" outlineLevel="0" max="10" min="10" style="3" width="10"/>
    <col collapsed="false" customWidth="true" hidden="false" outlineLevel="0" max="12" min="11" style="3" width="12"/>
    <col collapsed="false" customWidth="true" hidden="false" outlineLevel="0" max="16" min="13" style="3" width="5"/>
  </cols>
  <sheetData>
    <row r="1" customFormat="false" ht="30" hidden="false" customHeight="true" outlineLevel="0" collapsed="false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9.5" hidden="false" customHeight="true" outlineLevel="0" collapsed="false">
      <c r="A2" s="21" t="s">
        <v>96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customFormat="false" ht="15" hidden="false" customHeight="false" outlineLevel="0" collapsed="false">
      <c r="A3" s="22" t="s">
        <v>97</v>
      </c>
      <c r="B3" s="22"/>
      <c r="C3" s="22"/>
      <c r="D3" s="22"/>
      <c r="E3" s="23" t="s">
        <v>98</v>
      </c>
      <c r="F3" s="23"/>
      <c r="G3" s="23"/>
      <c r="H3" s="23"/>
      <c r="I3" s="24" t="s">
        <v>7</v>
      </c>
      <c r="J3" s="24"/>
      <c r="K3" s="24"/>
      <c r="L3" s="24"/>
    </row>
    <row r="4" customFormat="false" ht="15" hidden="false" customHeight="true" outlineLevel="0" collapsed="false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customFormat="false" ht="15" hidden="false" customHeight="true" outlineLevel="0" collapsed="false">
      <c r="A5" s="2" t="s">
        <v>99</v>
      </c>
      <c r="B5" s="25"/>
      <c r="C5" s="25"/>
      <c r="D5" s="25"/>
      <c r="I5" s="2" t="s">
        <v>100</v>
      </c>
      <c r="J5" s="25"/>
      <c r="K5" s="25"/>
      <c r="L5" s="25"/>
    </row>
    <row r="6" customFormat="false" ht="15" hidden="false" customHeight="true" outlineLevel="0" collapsed="false">
      <c r="A6" s="26" t="s">
        <v>84</v>
      </c>
      <c r="B6" s="27" t="str">
        <f aca="false">'AIRCRAFT LOAD &amp; TRIM SHEET'!I3</f>
        <v>A320</v>
      </c>
      <c r="C6" s="27"/>
      <c r="D6" s="27"/>
      <c r="I6" s="26" t="s">
        <v>101</v>
      </c>
      <c r="J6" s="28" t="s">
        <v>102</v>
      </c>
      <c r="K6" s="28"/>
      <c r="L6" s="28"/>
    </row>
    <row r="7" customFormat="false" ht="15" hidden="false" customHeight="true" outlineLevel="0" collapsed="false">
      <c r="A7" s="26" t="s">
        <v>103</v>
      </c>
      <c r="B7" s="27" t="s">
        <v>104</v>
      </c>
      <c r="C7" s="27"/>
      <c r="D7" s="27"/>
      <c r="I7" s="26" t="s">
        <v>105</v>
      </c>
      <c r="J7" s="28" t="s">
        <v>106</v>
      </c>
      <c r="K7" s="28"/>
      <c r="L7" s="28"/>
    </row>
    <row r="8" customFormat="false" ht="15" hidden="false" customHeight="true" outlineLevel="0" collapsed="false">
      <c r="A8" s="26" t="s">
        <v>107</v>
      </c>
      <c r="B8" s="27" t="s">
        <v>108</v>
      </c>
      <c r="C8" s="27"/>
      <c r="D8" s="27"/>
      <c r="I8" s="26" t="s">
        <v>109</v>
      </c>
      <c r="J8" s="28" t="s">
        <v>110</v>
      </c>
      <c r="K8" s="28"/>
      <c r="L8" s="28"/>
    </row>
    <row r="9" customFormat="false" ht="15" hidden="false" customHeight="false" outlineLevel="0" collapsed="false">
      <c r="A9" s="26" t="s">
        <v>111</v>
      </c>
      <c r="B9" s="29" t="str">
        <f aca="true">TEXT(TODAY(),"DD-MMM-YYYY")</f>
        <v>03-Feb-2026</v>
      </c>
      <c r="I9" s="26" t="s">
        <v>112</v>
      </c>
      <c r="J9" s="30" t="str">
        <f aca="true">TEXT(NOW(),"HH:MM")</f>
        <v>17:44</v>
      </c>
    </row>
    <row r="10" customFormat="false" ht="24.75" hidden="false" customHeight="tru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customFormat="false" ht="15" hidden="false" customHeight="true" outlineLevel="0" collapsed="false">
      <c r="A11" s="31" t="s">
        <v>113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</row>
    <row r="12" customFormat="false" ht="15" hidden="false" customHeight="true" outlineLevel="0" collapsed="false">
      <c r="A12" s="32" t="s">
        <v>114</v>
      </c>
      <c r="G12" s="25"/>
      <c r="H12" s="25"/>
      <c r="I12" s="25"/>
      <c r="J12" s="25"/>
    </row>
    <row r="13" customFormat="false" ht="15" hidden="false" customHeight="false" outlineLevel="0" collapsed="false">
      <c r="G13" s="33" t="s">
        <v>115</v>
      </c>
    </row>
    <row r="14" customFormat="false" ht="18" hidden="false" customHeight="true" outlineLevel="0" collapsed="false">
      <c r="C14" s="25"/>
      <c r="D14" s="25"/>
      <c r="E14" s="25"/>
      <c r="K14" s="25"/>
      <c r="L14" s="25"/>
      <c r="M14" s="25"/>
    </row>
    <row r="15" customFormat="false" ht="21.75" hidden="false" customHeight="true" outlineLevel="0" collapsed="false">
      <c r="C15" s="34" t="s">
        <v>116</v>
      </c>
      <c r="D15" s="34"/>
      <c r="E15" s="34"/>
      <c r="K15" s="34" t="s">
        <v>117</v>
      </c>
      <c r="L15" s="34"/>
      <c r="M15" s="34"/>
    </row>
    <row r="16" customFormat="false" ht="15" hidden="true" customHeight="true" outlineLevel="0" collapsed="false">
      <c r="C16" s="35" t="str">
        <f aca="false">'ULD LOAD INPUT'!B2&amp;" "&amp;TEXT('ULD LOAD INPUT'!C2,"#,##0")&amp;" kg"</f>
        <v>LD-7 3,200 kg</v>
      </c>
      <c r="D16" s="36"/>
      <c r="E16" s="36"/>
      <c r="K16" s="35" t="str">
        <f aca="false">'ULD LOAD INPUT'!B8&amp;" "&amp;TEXT('ULD LOAD INPUT'!C8,"#,##0")&amp;" kg"</f>
        <v>LD-3 1,400 kg</v>
      </c>
      <c r="L16" s="36"/>
      <c r="M16" s="36"/>
    </row>
    <row r="17" customFormat="false" ht="18" hidden="false" customHeight="true" outlineLevel="0" collapsed="false">
      <c r="C17" s="25" t="n">
        <f aca="false">'CARGO HOLD VISUAL LAYOUT'!F2</f>
        <v>0</v>
      </c>
      <c r="D17" s="25"/>
      <c r="E17" s="25"/>
      <c r="K17" s="25" t="str">
        <f aca="false">'CARGO HOLD VISUAL LAYOUT'!F8</f>
        <v>NEAR LIMIT</v>
      </c>
      <c r="L17" s="25"/>
      <c r="M17" s="25"/>
    </row>
    <row r="18" customFormat="false" ht="21.75" hidden="false" customHeight="true" outlineLevel="0" collapsed="false">
      <c r="C18" s="34" t="s">
        <v>118</v>
      </c>
      <c r="D18" s="34"/>
      <c r="E18" s="34"/>
      <c r="K18" s="34" t="s">
        <v>119</v>
      </c>
      <c r="L18" s="34"/>
      <c r="M18" s="34"/>
    </row>
    <row r="19" customFormat="false" ht="15" hidden="true" customHeight="true" outlineLevel="0" collapsed="false">
      <c r="C19" s="35" t="str">
        <f aca="false">'ULD LOAD INPUT'!B3&amp;" "&amp;TEXT('ULD LOAD INPUT'!C3,"#,##0")&amp;" kg"</f>
        <v>PMC 5,800 kg</v>
      </c>
      <c r="D19" s="36"/>
      <c r="E19" s="36"/>
      <c r="K19" s="35" t="str">
        <f aca="false">'ULD LOAD INPUT'!B9&amp;" "&amp;TEXT('ULD LOAD INPUT'!C9,"#,##0")&amp;" kg"</f>
        <v>PAG 4,800 kg</v>
      </c>
      <c r="L19" s="36"/>
      <c r="M19" s="36"/>
    </row>
    <row r="20" customFormat="false" ht="18" hidden="false" customHeight="true" outlineLevel="0" collapsed="false">
      <c r="C20" s="25" t="str">
        <f aca="false">'CARGO HOLD VISUAL LAYOUT'!F3</f>
        <v>Status</v>
      </c>
      <c r="D20" s="25"/>
      <c r="E20" s="25"/>
      <c r="K20" s="25" t="str">
        <f aca="false">'CARGO HOLD VISUAL LAYOUT'!F9</f>
        <v>SAFE</v>
      </c>
      <c r="L20" s="25"/>
      <c r="M20" s="25"/>
    </row>
    <row r="21" customFormat="false" ht="21.75" hidden="false" customHeight="true" outlineLevel="0" collapsed="false">
      <c r="C21" s="34" t="s">
        <v>120</v>
      </c>
      <c r="D21" s="34"/>
      <c r="E21" s="34"/>
      <c r="K21" s="34" t="s">
        <v>121</v>
      </c>
      <c r="L21" s="34"/>
      <c r="M21" s="34"/>
    </row>
    <row r="22" customFormat="false" ht="15" hidden="true" customHeight="true" outlineLevel="0" collapsed="false">
      <c r="C22" s="35" t="str">
        <f aca="false">'ULD LOAD INPUT'!B4&amp;" "&amp;TEXT('ULD LOAD INPUT'!C4,"#,##0")&amp;" kg"</f>
        <v>LD-3 1,200 kg</v>
      </c>
      <c r="D22" s="36"/>
      <c r="E22" s="36"/>
      <c r="K22" s="35" t="str">
        <f aca="false">'ULD LOAD INPUT'!B10&amp;" "&amp;TEXT('ULD LOAD INPUT'!C10,"#,##0")&amp;" kg"</f>
        <v>LD-7 3,800 kg</v>
      </c>
      <c r="L22" s="36"/>
      <c r="M22" s="36"/>
    </row>
    <row r="23" customFormat="false" ht="18" hidden="false" customHeight="true" outlineLevel="0" collapsed="false">
      <c r="C23" s="25" t="str">
        <f aca="false">'CARGO HOLD VISUAL LAYOUT'!F4</f>
        <v>SAFE</v>
      </c>
      <c r="D23" s="25"/>
      <c r="E23" s="25"/>
      <c r="K23" s="25" t="str">
        <f aca="false">'CARGO HOLD VISUAL LAYOUT'!F10</f>
        <v>SAFE</v>
      </c>
      <c r="L23" s="25"/>
      <c r="M23" s="25"/>
    </row>
    <row r="24" customFormat="false" ht="21.75" hidden="false" customHeight="true" outlineLevel="0" collapsed="false">
      <c r="C24" s="34" t="s">
        <v>122</v>
      </c>
      <c r="D24" s="34"/>
      <c r="E24" s="34"/>
      <c r="K24" s="34" t="s">
        <v>123</v>
      </c>
      <c r="L24" s="34"/>
      <c r="M24" s="34"/>
    </row>
    <row r="25" customFormat="false" ht="15" hidden="true" customHeight="true" outlineLevel="0" collapsed="false">
      <c r="C25" s="35" t="str">
        <f aca="false">'ULD LOAD INPUT'!B5&amp;" "&amp;TEXT('ULD LOAD INPUT'!C5,"#,##0")&amp;" kg"</f>
        <v>PAG 5,500 kg</v>
      </c>
      <c r="D25" s="36"/>
      <c r="E25" s="36"/>
      <c r="K25" s="35" t="str">
        <f aca="false">'ULD LOAD INPUT'!B11&amp;" "&amp;TEXT('ULD LOAD INPUT'!C11,"#,##0")&amp;" kg"</f>
        <v>LD-3 1,100 kg</v>
      </c>
      <c r="L25" s="36"/>
      <c r="M25" s="36"/>
    </row>
    <row r="26" customFormat="false" ht="18" hidden="false" customHeight="true" outlineLevel="0" collapsed="false">
      <c r="C26" s="25" t="str">
        <f aca="false">'CARGO HOLD VISUAL LAYOUT'!F5</f>
        <v>SAFE</v>
      </c>
      <c r="D26" s="25"/>
      <c r="E26" s="25"/>
      <c r="K26" s="25" t="str">
        <f aca="false">'CARGO HOLD VISUAL LAYOUT'!F11</f>
        <v>SAFE</v>
      </c>
      <c r="L26" s="25"/>
      <c r="M26" s="25"/>
    </row>
    <row r="27" customFormat="false" ht="21.75" hidden="false" customHeight="true" outlineLevel="0" collapsed="false">
      <c r="C27" s="34" t="s">
        <v>124</v>
      </c>
      <c r="D27" s="34"/>
      <c r="E27" s="34"/>
      <c r="K27" s="34" t="s">
        <v>125</v>
      </c>
      <c r="L27" s="34"/>
      <c r="M27" s="34"/>
    </row>
    <row r="28" customFormat="false" ht="15" hidden="true" customHeight="true" outlineLevel="0" collapsed="false">
      <c r="C28" s="35" t="str">
        <f aca="false">'ULD LOAD INPUT'!B6&amp;" "&amp;TEXT('ULD LOAD INPUT'!C6,"#,##0")&amp;" kg"</f>
        <v>LD-7 4,200 kg</v>
      </c>
      <c r="D28" s="36"/>
      <c r="E28" s="36"/>
      <c r="K28" s="35" t="str">
        <f aca="false">'ULD LOAD INPUT'!B12&amp;" "&amp;TEXT('ULD LOAD INPUT'!C12,"#,##0")&amp;" kg"</f>
        <v>PMC 5,200 kg</v>
      </c>
      <c r="L28" s="36"/>
      <c r="M28" s="36"/>
    </row>
    <row r="29" customFormat="false" ht="18" hidden="false" customHeight="true" outlineLevel="0" collapsed="false">
      <c r="C29" s="25" t="str">
        <f aca="false">'CARGO HOLD VISUAL LAYOUT'!F6</f>
        <v>SAFE</v>
      </c>
      <c r="D29" s="25"/>
      <c r="E29" s="25"/>
      <c r="K29" s="25" t="str">
        <f aca="false">'CARGO HOLD VISUAL LAYOUT'!F12</f>
        <v>SAFE</v>
      </c>
      <c r="L29" s="25"/>
      <c r="M29" s="25"/>
    </row>
    <row r="30" customFormat="false" ht="21.75" hidden="false" customHeight="true" outlineLevel="0" collapsed="false">
      <c r="C30" s="34" t="s">
        <v>126</v>
      </c>
      <c r="D30" s="34"/>
      <c r="E30" s="34"/>
      <c r="K30" s="34" t="s">
        <v>127</v>
      </c>
      <c r="L30" s="34"/>
      <c r="M30" s="34"/>
    </row>
    <row r="31" customFormat="false" ht="15" hidden="true" customHeight="true" outlineLevel="0" collapsed="false">
      <c r="C31" s="35" t="str">
        <f aca="false">'ULD LOAD INPUT'!B7&amp;" "&amp;TEXT('ULD LOAD INPUT'!C7,"#,##0")&amp;" kg"</f>
        <v>PMC 6,100 kg</v>
      </c>
      <c r="D31" s="36"/>
      <c r="E31" s="36"/>
      <c r="K31" s="35" t="str">
        <f aca="false">'ULD LOAD INPUT'!B13&amp;" "&amp;TEXT('ULD LOAD INPUT'!C13,"#,##0")&amp;" kg"</f>
        <v>PAG 5,900 kg</v>
      </c>
      <c r="L31" s="36"/>
      <c r="M31" s="36"/>
    </row>
    <row r="32" customFormat="false" ht="15" hidden="false" customHeight="true" outlineLevel="0" collapsed="false">
      <c r="C32" s="3" t="str">
        <f aca="false">'CARGO HOLD VISUAL LAYOUT'!F7</f>
        <v>NEAR LIMIT</v>
      </c>
      <c r="G32" s="25"/>
      <c r="H32" s="25"/>
      <c r="I32" s="25"/>
      <c r="J32" s="25"/>
      <c r="K32" s="3" t="str">
        <f aca="false">'CARGO HOLD VISUAL LAYOUT'!F13</f>
        <v>SAFE</v>
      </c>
    </row>
    <row r="33" customFormat="false" ht="15" hidden="false" customHeight="false" outlineLevel="0" collapsed="false">
      <c r="G33" s="33" t="s">
        <v>128</v>
      </c>
    </row>
    <row r="34" customFormat="false" ht="21.7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customFormat="false" ht="15" hidden="false" customHeight="true" outlineLevel="0" collapsed="false">
      <c r="A35" s="37" t="s">
        <v>129</v>
      </c>
      <c r="C35" s="25"/>
      <c r="D35" s="25"/>
      <c r="I35" s="38" t="s">
        <v>130</v>
      </c>
      <c r="K35" s="25"/>
      <c r="L35" s="25"/>
    </row>
    <row r="36" customFormat="false" ht="15" hidden="false" customHeight="true" outlineLevel="0" collapsed="false">
      <c r="A36" s="26" t="s">
        <v>131</v>
      </c>
      <c r="C36" s="39" t="str">
        <f aca="false">'CG &amp; BALANCE DECISION ENGINE'!B12&amp;" kg"</f>
        <v>48200 kg</v>
      </c>
      <c r="D36" s="39"/>
      <c r="I36" s="26" t="s">
        <v>132</v>
      </c>
      <c r="K36" s="39" t="str">
        <f aca="false">TEXT('CG &amp; BALANCE DECISION ENGINE'!B15,"0.00")&amp;" m"</f>
        <v>21.87 m</v>
      </c>
      <c r="L36" s="39"/>
    </row>
    <row r="37" customFormat="false" ht="15" hidden="false" customHeight="true" outlineLevel="0" collapsed="false">
      <c r="A37" s="26" t="s">
        <v>133</v>
      </c>
      <c r="C37" s="39" t="n">
        <f aca="false">COUNTA('ULD LOAD INPUT'!B2:B13)</f>
        <v>12</v>
      </c>
      <c r="D37" s="39"/>
      <c r="I37" s="26" t="s">
        <v>134</v>
      </c>
      <c r="K37" s="39" t="str">
        <f aca="false">TEXT('CG &amp; BALANCE DECISION ENGINE'!B7,"0.00")&amp;" m"</f>
        <v>14.00 m</v>
      </c>
      <c r="L37" s="39"/>
    </row>
    <row r="38" customFormat="false" ht="15" hidden="false" customHeight="true" outlineLevel="0" collapsed="false">
      <c r="A38" s="26" t="s">
        <v>135</v>
      </c>
      <c r="C38" s="39" t="str">
        <f aca="false">SUMIF('ULD MASTER TABLE'!C:C,"Main",'ARM &amp; MOMENT COMPUTATION'!D4:D15)&amp;" kg"</f>
        <v>15700 kg</v>
      </c>
      <c r="D38" s="39"/>
      <c r="I38" s="26" t="s">
        <v>136</v>
      </c>
      <c r="K38" s="39" t="str">
        <f aca="false">TEXT('CG &amp; BALANCE DECISION ENGINE'!B8,"0.00")&amp;" m"</f>
        <v>28.00 m</v>
      </c>
      <c r="L38" s="39"/>
    </row>
    <row r="39" customFormat="false" ht="15" hidden="false" customHeight="true" outlineLevel="0" collapsed="false">
      <c r="A39" s="26" t="s">
        <v>137</v>
      </c>
      <c r="C39" s="39" t="str">
        <f aca="false">SUMIF('ULD MASTER TABLE'!C:C,"Lower",'ARM &amp; MOMENT COMPUTATION'!D4:D15)&amp;" kg"</f>
        <v>13300 kg</v>
      </c>
      <c r="D39" s="39"/>
      <c r="I39" s="26" t="s">
        <v>93</v>
      </c>
      <c r="K39" s="39" t="str">
        <f aca="false">'CG &amp; BALANCE DECISION ENGINE'!B19</f>
        <v>✓ CG WITHIN SAFE ENVELOPE</v>
      </c>
      <c r="L39" s="36"/>
    </row>
    <row r="40" customFormat="false" ht="15" hidden="false" customHeight="true" outlineLevel="0" collapsed="false">
      <c r="A40" s="26" t="s">
        <v>138</v>
      </c>
      <c r="C40" s="40" t="n">
        <f aca="false">COUNTIF('CARGO HOLD VISUAL LAYOUT'!F:F,"OVERLOAD")</f>
        <v>0</v>
      </c>
      <c r="D40" s="36"/>
      <c r="I40" s="25"/>
      <c r="J40" s="25"/>
      <c r="K40" s="25"/>
      <c r="L40" s="25"/>
      <c r="M40" s="25"/>
      <c r="N40" s="25"/>
      <c r="O40" s="25"/>
      <c r="P40" s="25"/>
    </row>
    <row r="41" customFormat="false" ht="24.7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41" t="s">
        <v>139</v>
      </c>
    </row>
    <row r="42" customFormat="false" ht="15" hidden="false" customHeight="true" outlineLevel="0" collapsed="false">
      <c r="A42" s="42" t="s">
        <v>140</v>
      </c>
    </row>
    <row r="43" customFormat="false" ht="34.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3" t="s">
        <v>141</v>
      </c>
      <c r="J43" s="3" t="n">
        <f aca="false">'CG &amp; BALANCE DECISION ENGINE'!B7</f>
        <v>14</v>
      </c>
    </row>
    <row r="44" customFormat="false" ht="15" hidden="false" customHeight="true" outlineLevel="0" collapsed="false">
      <c r="A44" s="43" t="str">
        <f aca="false">'CG &amp; BALANCE DECISION ENGINE'!B21</f>
        <v>✓ SAFE FOR FLIGHT</v>
      </c>
      <c r="B44" s="44"/>
      <c r="C44" s="44"/>
      <c r="D44" s="44"/>
      <c r="E44" s="44"/>
      <c r="F44" s="44"/>
      <c r="G44" s="44"/>
      <c r="H44" s="44"/>
      <c r="I44" s="3" t="s">
        <v>142</v>
      </c>
      <c r="J44" s="45" t="n">
        <f aca="false">'CG &amp; BALANCE DECISION ENGINE'!B15</f>
        <v>21.8703319502075</v>
      </c>
    </row>
    <row r="45" customFormat="false" ht="1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3" t="s">
        <v>143</v>
      </c>
      <c r="J45" s="3" t="n">
        <f aca="false">'CG &amp; BALANCE DECISION ENGINE'!B8</f>
        <v>28</v>
      </c>
    </row>
    <row r="46" customFormat="false" ht="15" hidden="false" customHeight="true" outlineLevel="0" collapsed="false">
      <c r="A46" s="46" t="s">
        <v>144</v>
      </c>
      <c r="D46" s="25"/>
      <c r="E46" s="25"/>
      <c r="F46" s="25"/>
      <c r="G46" s="25"/>
    </row>
    <row r="47" customFormat="false" ht="15" hidden="false" customHeight="true" outlineLevel="0" collapsed="false">
      <c r="A47" s="47" t="s">
        <v>145</v>
      </c>
      <c r="D47" s="48" t="str">
        <f aca="false">IF(COUNTIF('CARGO HOLD VISUAL LAYOUT'!F:F,"OVERLOAD")&gt;0,"❌ OVERLOAD DETECTED","✅ ALL WEIGHTS WITHIN LIMITS")</f>
        <v>✅ ALL WEIGHTS WITHIN LIMITS</v>
      </c>
      <c r="E47" s="48"/>
      <c r="F47" s="48"/>
      <c r="G47" s="48"/>
    </row>
    <row r="48" customFormat="false" ht="15" hidden="false" customHeight="true" outlineLevel="0" collapsed="false">
      <c r="A48" s="47" t="s">
        <v>146</v>
      </c>
      <c r="D48" s="48" t="str">
        <f aca="false">'CG &amp; BALANCE DECISION ENGINE'!B19</f>
        <v>✓ CG WITHIN SAFE ENVELOPE</v>
      </c>
      <c r="E48" s="48"/>
      <c r="F48" s="48"/>
      <c r="G48" s="48"/>
    </row>
    <row r="49" customFormat="false" ht="15" hidden="false" customHeight="false" outlineLevel="0" collapsed="false">
      <c r="A49" s="47" t="s">
        <v>147</v>
      </c>
      <c r="D49" s="48" t="str">
        <f aca="false">IF(COUNTA('ULD LOAD INPUT'!B2:B13)=12,"✅ ALL POSITIONS LOADED","⚠️ PARTIAL LOAD")</f>
        <v>✅ ALL POSITIONS LOADED</v>
      </c>
      <c r="E49" s="36"/>
      <c r="F49" s="36"/>
      <c r="G49" s="36"/>
    </row>
    <row r="50" customFormat="false" ht="1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customFormat="false" ht="15" hidden="false" customHeight="true" outlineLevel="0" collapsed="false">
      <c r="A51" s="49" t="s">
        <v>148</v>
      </c>
      <c r="C51" s="25"/>
      <c r="D51" s="25"/>
      <c r="E51" s="25"/>
      <c r="K51" s="25"/>
      <c r="L51" s="25"/>
      <c r="M51" s="25"/>
    </row>
    <row r="52" customFormat="false" ht="15" hidden="false" customHeight="true" outlineLevel="0" collapsed="false">
      <c r="A52" s="47" t="s">
        <v>149</v>
      </c>
      <c r="C52" s="50" t="s">
        <v>150</v>
      </c>
      <c r="D52" s="50"/>
      <c r="E52" s="50"/>
      <c r="I52" s="47" t="s">
        <v>151</v>
      </c>
      <c r="K52" s="50" t="s">
        <v>152</v>
      </c>
      <c r="L52" s="50"/>
      <c r="M52" s="50"/>
    </row>
    <row r="53" customFormat="false" ht="15" hidden="false" customHeight="false" outlineLevel="0" collapsed="false">
      <c r="A53" s="47" t="s">
        <v>153</v>
      </c>
      <c r="C53" s="51" t="str">
        <f aca="true">TEXT(NOW(),"DD-MMM-YYYY HH:MM:SS")</f>
        <v>03-Feb-2026 17:44:31</v>
      </c>
      <c r="I53" s="47" t="s">
        <v>154</v>
      </c>
      <c r="K53" s="51" t="s">
        <v>155</v>
      </c>
    </row>
    <row r="54" customFormat="false" ht="15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customFormat="false" ht="367.9" hidden="false" customHeight="false" outlineLevel="0" collapsed="false">
      <c r="A55" s="52" t="s">
        <v>156</v>
      </c>
    </row>
  </sheetData>
  <mergeCells count="67">
    <mergeCell ref="A1:P1"/>
    <mergeCell ref="A2:P2"/>
    <mergeCell ref="A3:D3"/>
    <mergeCell ref="E3:H3"/>
    <mergeCell ref="I3:L3"/>
    <mergeCell ref="A4:H4"/>
    <mergeCell ref="I4:P4"/>
    <mergeCell ref="B5:D5"/>
    <mergeCell ref="J5:L5"/>
    <mergeCell ref="B6:D6"/>
    <mergeCell ref="J6:L6"/>
    <mergeCell ref="B7:D7"/>
    <mergeCell ref="J7:L7"/>
    <mergeCell ref="B8:D8"/>
    <mergeCell ref="J8:L8"/>
    <mergeCell ref="A10:P10"/>
    <mergeCell ref="A11:P11"/>
    <mergeCell ref="G12:J12"/>
    <mergeCell ref="C14:E14"/>
    <mergeCell ref="K14:M14"/>
    <mergeCell ref="C15:E15"/>
    <mergeCell ref="K15:M15"/>
    <mergeCell ref="C17:E17"/>
    <mergeCell ref="K17:M17"/>
    <mergeCell ref="C18:E18"/>
    <mergeCell ref="K18:M18"/>
    <mergeCell ref="C20:E20"/>
    <mergeCell ref="K20:M20"/>
    <mergeCell ref="C21:E21"/>
    <mergeCell ref="K21:M21"/>
    <mergeCell ref="C23:E23"/>
    <mergeCell ref="K23:M23"/>
    <mergeCell ref="C24:E24"/>
    <mergeCell ref="K24:M24"/>
    <mergeCell ref="C26:E26"/>
    <mergeCell ref="K26:M26"/>
    <mergeCell ref="C27:E27"/>
    <mergeCell ref="K27:M27"/>
    <mergeCell ref="C29:E29"/>
    <mergeCell ref="K29:M29"/>
    <mergeCell ref="C30:E30"/>
    <mergeCell ref="K30:M30"/>
    <mergeCell ref="G32:J32"/>
    <mergeCell ref="A34:H34"/>
    <mergeCell ref="I34:P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I40:P40"/>
    <mergeCell ref="A41:H41"/>
    <mergeCell ref="A43:H43"/>
    <mergeCell ref="A45:H45"/>
    <mergeCell ref="D46:G46"/>
    <mergeCell ref="D47:G47"/>
    <mergeCell ref="D48:G48"/>
    <mergeCell ref="A50:P50"/>
    <mergeCell ref="C51:E51"/>
    <mergeCell ref="K51:M51"/>
    <mergeCell ref="C52:E52"/>
    <mergeCell ref="K52:M52"/>
    <mergeCell ref="A54:P54"/>
  </mergeCells>
  <conditionalFormatting sqref="C15:E15">
    <cfRule type="expression" priority="2" aboveAverage="0" equalAverage="0" bottom="0" percent="0" rank="0" text="" dxfId="2">
      <formula>C16="SAFE"</formula>
    </cfRule>
    <cfRule type="expression" priority="3" aboveAverage="0" equalAverage="0" bottom="0" percent="0" rank="0" text="" dxfId="1">
      <formula>C16="NEAR LIMIT"</formula>
    </cfRule>
    <cfRule type="expression" priority="4" aboveAverage="0" equalAverage="0" bottom="0" percent="0" rank="0" text="" dxfId="0">
      <formula>C16="OVERLOAD"</formula>
    </cfRule>
  </conditionalFormatting>
  <conditionalFormatting sqref="K15:M15">
    <cfRule type="expression" priority="5" aboveAverage="0" equalAverage="0" bottom="0" percent="0" rank="0" text="" dxfId="2">
      <formula>K16="SAFE"</formula>
    </cfRule>
    <cfRule type="expression" priority="6" aboveAverage="0" equalAverage="0" bottom="0" percent="0" rank="0" text="" dxfId="1">
      <formula>K16="NEAR LIMIT"</formula>
    </cfRule>
    <cfRule type="expression" priority="7" aboveAverage="0" equalAverage="0" bottom="0" percent="0" rank="0" text="" dxfId="0">
      <formula>K16="OVERLOAD"</formula>
    </cfRule>
  </conditionalFormatting>
  <conditionalFormatting sqref="C18:E18">
    <cfRule type="expression" priority="8" aboveAverage="0" equalAverage="0" bottom="0" percent="0" rank="0" text="" dxfId="2">
      <formula>C19="SAFE"</formula>
    </cfRule>
    <cfRule type="expression" priority="9" aboveAverage="0" equalAverage="0" bottom="0" percent="0" rank="0" text="" dxfId="1">
      <formula>C19="NEAR LIMIT"</formula>
    </cfRule>
    <cfRule type="expression" priority="10" aboveAverage="0" equalAverage="0" bottom="0" percent="0" rank="0" text="" dxfId="0">
      <formula>C19="OVERLOAD"</formula>
    </cfRule>
  </conditionalFormatting>
  <conditionalFormatting sqref="K18:M18">
    <cfRule type="expression" priority="11" aboveAverage="0" equalAverage="0" bottom="0" percent="0" rank="0" text="" dxfId="2">
      <formula>K19="SAFE"</formula>
    </cfRule>
    <cfRule type="expression" priority="12" aboveAverage="0" equalAverage="0" bottom="0" percent="0" rank="0" text="" dxfId="1">
      <formula>K19="NEAR LIMIT"</formula>
    </cfRule>
    <cfRule type="expression" priority="13" aboveAverage="0" equalAverage="0" bottom="0" percent="0" rank="0" text="" dxfId="0">
      <formula>K19="OVERLOAD"</formula>
    </cfRule>
  </conditionalFormatting>
  <conditionalFormatting sqref="C21:E21">
    <cfRule type="expression" priority="14" aboveAverage="0" equalAverage="0" bottom="0" percent="0" rank="0" text="" dxfId="2">
      <formula>C22="SAFE"</formula>
    </cfRule>
    <cfRule type="expression" priority="15" aboveAverage="0" equalAverage="0" bottom="0" percent="0" rank="0" text="" dxfId="1">
      <formula>C22="NEAR LIMIT"</formula>
    </cfRule>
    <cfRule type="expression" priority="16" aboveAverage="0" equalAverage="0" bottom="0" percent="0" rank="0" text="" dxfId="0">
      <formula>C22="OVERLOAD"</formula>
    </cfRule>
  </conditionalFormatting>
  <conditionalFormatting sqref="K21:M21">
    <cfRule type="expression" priority="17" aboveAverage="0" equalAverage="0" bottom="0" percent="0" rank="0" text="" dxfId="2">
      <formula>K22="SAFE"</formula>
    </cfRule>
    <cfRule type="expression" priority="18" aboveAverage="0" equalAverage="0" bottom="0" percent="0" rank="0" text="" dxfId="1">
      <formula>K22="NEAR LIMIT"</formula>
    </cfRule>
    <cfRule type="expression" priority="19" aboveAverage="0" equalAverage="0" bottom="0" percent="0" rank="0" text="" dxfId="0">
      <formula>K22="OVERLOAD"</formula>
    </cfRule>
  </conditionalFormatting>
  <conditionalFormatting sqref="C24:E24">
    <cfRule type="expression" priority="20" aboveAverage="0" equalAverage="0" bottom="0" percent="0" rank="0" text="" dxfId="2">
      <formula>C25="SAFE"</formula>
    </cfRule>
    <cfRule type="expression" priority="21" aboveAverage="0" equalAverage="0" bottom="0" percent="0" rank="0" text="" dxfId="1">
      <formula>C25="NEAR LIMIT"</formula>
    </cfRule>
    <cfRule type="expression" priority="22" aboveAverage="0" equalAverage="0" bottom="0" percent="0" rank="0" text="" dxfId="0">
      <formula>C25="OVERLOAD"</formula>
    </cfRule>
  </conditionalFormatting>
  <conditionalFormatting sqref="K24:M24">
    <cfRule type="expression" priority="23" aboveAverage="0" equalAverage="0" bottom="0" percent="0" rank="0" text="" dxfId="2">
      <formula>K25="SAFE"</formula>
    </cfRule>
    <cfRule type="expression" priority="24" aboveAverage="0" equalAverage="0" bottom="0" percent="0" rank="0" text="" dxfId="1">
      <formula>K25="NEAR LIMIT"</formula>
    </cfRule>
    <cfRule type="expression" priority="25" aboveAverage="0" equalAverage="0" bottom="0" percent="0" rank="0" text="" dxfId="0">
      <formula>K25="OVERLOAD"</formula>
    </cfRule>
  </conditionalFormatting>
  <conditionalFormatting sqref="C27:E27">
    <cfRule type="expression" priority="26" aboveAverage="0" equalAverage="0" bottom="0" percent="0" rank="0" text="" dxfId="2">
      <formula>C28="SAFE"</formula>
    </cfRule>
    <cfRule type="expression" priority="27" aboveAverage="0" equalAverage="0" bottom="0" percent="0" rank="0" text="" dxfId="1">
      <formula>C28="NEAR LIMIT"</formula>
    </cfRule>
    <cfRule type="expression" priority="28" aboveAverage="0" equalAverage="0" bottom="0" percent="0" rank="0" text="" dxfId="0">
      <formula>C28="OVERLOAD"</formula>
    </cfRule>
  </conditionalFormatting>
  <conditionalFormatting sqref="K27:M27">
    <cfRule type="expression" priority="29" aboveAverage="0" equalAverage="0" bottom="0" percent="0" rank="0" text="" dxfId="2">
      <formula>K28="SAFE"</formula>
    </cfRule>
    <cfRule type="expression" priority="30" aboveAverage="0" equalAverage="0" bottom="0" percent="0" rank="0" text="" dxfId="1">
      <formula>K28="NEAR LIMIT"</formula>
    </cfRule>
    <cfRule type="expression" priority="31" aboveAverage="0" equalAverage="0" bottom="0" percent="0" rank="0" text="" dxfId="0">
      <formula>K28="OVERLOAD"</formula>
    </cfRule>
  </conditionalFormatting>
  <conditionalFormatting sqref="C30:E30">
    <cfRule type="expression" priority="32" aboveAverage="0" equalAverage="0" bottom="0" percent="0" rank="0" text="" dxfId="2">
      <formula>C31="SAFE"</formula>
    </cfRule>
    <cfRule type="expression" priority="33" aboveAverage="0" equalAverage="0" bottom="0" percent="0" rank="0" text="" dxfId="1">
      <formula>C31="NEAR LIMIT"</formula>
    </cfRule>
    <cfRule type="expression" priority="34" aboveAverage="0" equalAverage="0" bottom="0" percent="0" rank="0" text="" dxfId="0">
      <formula>C31="OVERLOAD"</formula>
    </cfRule>
  </conditionalFormatting>
  <conditionalFormatting sqref="K30:M30">
    <cfRule type="expression" priority="35" aboveAverage="0" equalAverage="0" bottom="0" percent="0" rank="0" text="" dxfId="2">
      <formula>K31="SAFE"</formula>
    </cfRule>
    <cfRule type="expression" priority="36" aboveAverage="0" equalAverage="0" bottom="0" percent="0" rank="0" text="" dxfId="1">
      <formula>K31="NEAR LIMIT"</formula>
    </cfRule>
    <cfRule type="expression" priority="37" aboveAverage="0" equalAverage="0" bottom="0" percent="0" rank="0" text="" dxfId="0">
      <formula>K31="OVERLOAD"</formula>
    </cfRule>
  </conditionalFormatting>
  <conditionalFormatting sqref="A43:H43">
    <cfRule type="expression" priority="38" aboveAverage="0" equalAverage="0" bottom="0" percent="0" rank="0" text="" dxfId="2">
      <formula>ISNUMBER(SEARCH("✓ SAFE",A43))</formula>
    </cfRule>
    <cfRule type="expression" priority="39" aboveAverage="0" equalAverage="0" bottom="0" percent="0" rank="0" text="" dxfId="0">
      <formula>ISNUMBER(SEARCH("✖ NOT SAFE",A43))</formula>
    </cfRule>
  </conditionalFormatting>
  <conditionalFormatting sqref="K38:L38">
    <cfRule type="expression" priority="40" aboveAverage="0" equalAverage="0" bottom="0" percent="0" rank="0" text="" dxfId="2">
      <formula>ISNUMBER(SEARCH("✓",K38))</formula>
    </cfRule>
    <cfRule type="expression" priority="41" aboveAverage="0" equalAverage="0" bottom="0" percent="0" rank="0" text="" dxfId="0">
      <formula>ISNUMBER(SEARCH("⚠",K38))</formula>
    </cfRule>
  </conditionalFormatting>
  <conditionalFormatting sqref="D46:G46">
    <cfRule type="expression" priority="42" aboveAverage="0" equalAverage="0" bottom="0" percent="0" rank="0" text="" dxfId="2">
      <formula>ISNUMBER(SEARCH("✅",D46))</formula>
    </cfRule>
    <cfRule type="expression" priority="43" aboveAverage="0" equalAverage="0" bottom="0" percent="0" rank="0" text="" dxfId="0">
      <formula>OR(ISNUMBER(SEARCH("❌",D46)),ISNUMBER(SEARCH("⚠️",D46)))</formula>
    </cfRule>
  </conditionalFormatting>
  <conditionalFormatting sqref="D47:G47">
    <cfRule type="expression" priority="44" aboveAverage="0" equalAverage="0" bottom="0" percent="0" rank="0" text="" dxfId="2">
      <formula>ISNUMBER(SEARCH("✅",D47))</formula>
    </cfRule>
    <cfRule type="expression" priority="45" aboveAverage="0" equalAverage="0" bottom="0" percent="0" rank="0" text="" dxfId="0">
      <formula>OR(ISNUMBER(SEARCH("❌",D47)),ISNUMBER(SEARCH("⚠️",D47)))</formula>
    </cfRule>
  </conditionalFormatting>
  <conditionalFormatting sqref="D48:G48">
    <cfRule type="expression" priority="46" aboveAverage="0" equalAverage="0" bottom="0" percent="0" rank="0" text="" dxfId="2">
      <formula>ISNUMBER(SEARCH("✅",D48))</formula>
    </cfRule>
    <cfRule type="expression" priority="47" aboveAverage="0" equalAverage="0" bottom="0" percent="0" rank="0" text="" dxfId="0">
      <formula>OR(ISNUMBER(SEARCH("❌",D48)),ISNUMBER(SEARCH("⚠️",D48)))</formula>
    </cfRule>
  </conditionalFormatting>
  <conditionalFormatting sqref="C39:D39">
    <cfRule type="expression" priority="48" aboveAverage="0" equalAverage="0" bottom="0" percent="0" rank="0" text="" dxfId="0">
      <formula>C39&gt;0</formula>
    </cfRule>
  </conditionalFormatting>
  <dataValidations count="1">
    <dataValidation allowBlank="false" error="Please select a valid aircraft type" errorStyle="stop" errorTitle="Invalid Aircraft" operator="between" prompt="Select aircraft model: A320, B737, or B777" promptTitle="Aircraft Selection" showDropDown="false" showErrorMessage="false" showInputMessage="false" sqref="I3" type="list">
      <formula1>"A320,B737,B777"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30"/>
    <col collapsed="false" customWidth="true" hidden="false" outlineLevel="0" max="2" min="2" style="3" width="25"/>
    <col collapsed="false" customWidth="true" hidden="false" outlineLevel="0" max="3" min="3" style="3" width="60"/>
  </cols>
  <sheetData>
    <row r="1" customFormat="false" ht="17.25" hidden="false" customHeight="true" outlineLevel="0" collapsed="false">
      <c r="A1" s="53" t="s">
        <v>157</v>
      </c>
      <c r="B1" s="53"/>
      <c r="C1" s="53"/>
    </row>
    <row r="2" customFormat="false" ht="15" hidden="false" customHeight="true" outlineLevel="0" collapsed="false">
      <c r="A2" s="54" t="s">
        <v>158</v>
      </c>
      <c r="B2" s="54" t="s">
        <v>159</v>
      </c>
      <c r="C2" s="55" t="s">
        <v>160</v>
      </c>
    </row>
    <row r="3" customFormat="false" ht="15" hidden="false" customHeight="true" outlineLevel="0" collapsed="false">
      <c r="C3" s="56"/>
    </row>
    <row r="4" customFormat="false" ht="27.75" hidden="false" customHeight="true" outlineLevel="0" collapsed="false">
      <c r="A4" s="3" t="s">
        <v>161</v>
      </c>
      <c r="B4" s="3" t="s">
        <v>162</v>
      </c>
      <c r="C4" s="56" t="s">
        <v>163</v>
      </c>
    </row>
    <row r="5" customFormat="false" ht="15" hidden="false" customHeight="true" outlineLevel="0" collapsed="false">
      <c r="C5" s="56"/>
    </row>
    <row r="6" customFormat="false" ht="27.75" hidden="false" customHeight="true" outlineLevel="0" collapsed="false">
      <c r="A6" s="3" t="s">
        <v>164</v>
      </c>
      <c r="B6" s="3" t="s">
        <v>165</v>
      </c>
      <c r="C6" s="56" t="s">
        <v>166</v>
      </c>
    </row>
    <row r="7" customFormat="false" ht="15" hidden="false" customHeight="true" outlineLevel="0" collapsed="false">
      <c r="C7" s="56"/>
    </row>
    <row r="8" customFormat="false" ht="27.75" hidden="false" customHeight="true" outlineLevel="0" collapsed="false">
      <c r="A8" s="3" t="s">
        <v>167</v>
      </c>
      <c r="B8" s="3" t="s">
        <v>168</v>
      </c>
      <c r="C8" s="56" t="s">
        <v>169</v>
      </c>
    </row>
    <row r="9" customFormat="false" ht="15" hidden="false" customHeight="true" outlineLevel="0" collapsed="false">
      <c r="C9" s="56"/>
    </row>
    <row r="10" customFormat="false" ht="27.75" hidden="false" customHeight="true" outlineLevel="0" collapsed="false">
      <c r="A10" s="3" t="s">
        <v>170</v>
      </c>
      <c r="B10" s="3" t="s">
        <v>171</v>
      </c>
      <c r="C10" s="56" t="s">
        <v>172</v>
      </c>
    </row>
    <row r="11" customFormat="false" ht="15" hidden="false" customHeight="true" outlineLevel="0" collapsed="false">
      <c r="C11" s="56"/>
    </row>
    <row r="12" customFormat="false" ht="27.75" hidden="false" customHeight="true" outlineLevel="0" collapsed="false">
      <c r="A12" s="3" t="s">
        <v>173</v>
      </c>
      <c r="B12" s="3" t="s">
        <v>174</v>
      </c>
      <c r="C12" s="56" t="s">
        <v>175</v>
      </c>
    </row>
    <row r="13" customFormat="false" ht="15" hidden="false" customHeight="true" outlineLevel="0" collapsed="false">
      <c r="C13" s="56"/>
    </row>
    <row r="14" customFormat="false" ht="27.75" hidden="false" customHeight="true" outlineLevel="0" collapsed="false">
      <c r="A14" s="3" t="s">
        <v>176</v>
      </c>
      <c r="B14" s="3" t="s">
        <v>177</v>
      </c>
      <c r="C14" s="56" t="s">
        <v>178</v>
      </c>
    </row>
    <row r="15" customFormat="false" ht="15" hidden="false" customHeight="true" outlineLevel="0" collapsed="false">
      <c r="C15" s="56"/>
    </row>
    <row r="16" customFormat="false" ht="27.75" hidden="false" customHeight="true" outlineLevel="0" collapsed="false">
      <c r="A16" s="3" t="s">
        <v>179</v>
      </c>
      <c r="B16" s="3" t="s">
        <v>180</v>
      </c>
      <c r="C16" s="56" t="s">
        <v>181</v>
      </c>
    </row>
    <row r="17" customFormat="false" ht="15" hidden="false" customHeight="true" outlineLevel="0" collapsed="false">
      <c r="C17" s="56"/>
    </row>
    <row r="18" customFormat="false" ht="27.75" hidden="false" customHeight="true" outlineLevel="0" collapsed="false">
      <c r="A18" s="3" t="s">
        <v>182</v>
      </c>
      <c r="B18" s="3" t="s">
        <v>183</v>
      </c>
      <c r="C18" s="56" t="s">
        <v>184</v>
      </c>
    </row>
    <row r="19" customFormat="false" ht="15" hidden="false" customHeight="true" outlineLevel="0" collapsed="false">
      <c r="C19" s="56"/>
    </row>
    <row r="20" customFormat="false" ht="15" hidden="false" customHeight="true" outlineLevel="0" collapsed="false">
      <c r="A20" s="57" t="s">
        <v>185</v>
      </c>
      <c r="C20" s="56"/>
    </row>
    <row r="21" customFormat="false" ht="15" hidden="false" customHeight="true" outlineLevel="0" collapsed="false">
      <c r="A21" s="3" t="s">
        <v>186</v>
      </c>
      <c r="C21" s="56" t="s">
        <v>187</v>
      </c>
    </row>
    <row r="22" customFormat="false" ht="15" hidden="false" customHeight="true" outlineLevel="0" collapsed="false">
      <c r="A22" s="3" t="s">
        <v>188</v>
      </c>
      <c r="C22" s="56" t="s">
        <v>189</v>
      </c>
    </row>
    <row r="23" customFormat="false" ht="15" hidden="false" customHeight="true" outlineLevel="0" collapsed="false">
      <c r="A23" s="3" t="s">
        <v>190</v>
      </c>
      <c r="C23" s="56" t="s">
        <v>191</v>
      </c>
    </row>
    <row r="24" customFormat="false" ht="15" hidden="false" customHeight="true" outlineLevel="0" collapsed="false">
      <c r="A24" s="3" t="s">
        <v>192</v>
      </c>
      <c r="C24" s="56" t="s">
        <v>193</v>
      </c>
    </row>
    <row r="25" customFormat="false" ht="15" hidden="false" customHeight="true" outlineLevel="0" collapsed="false">
      <c r="A25" s="3" t="s">
        <v>194</v>
      </c>
      <c r="C25" s="56" t="s">
        <v>195</v>
      </c>
    </row>
    <row r="26" customFormat="false" ht="15" hidden="false" customHeight="true" outlineLevel="0" collapsed="false">
      <c r="C26" s="56"/>
    </row>
    <row r="27" customFormat="false" ht="15" hidden="false" customHeight="true" outlineLevel="0" collapsed="false">
      <c r="A27" s="57" t="s">
        <v>196</v>
      </c>
      <c r="C27" s="56"/>
    </row>
    <row r="28" customFormat="false" ht="15" hidden="false" customHeight="true" outlineLevel="0" collapsed="false">
      <c r="A28" s="3" t="s">
        <v>197</v>
      </c>
      <c r="C28" s="56"/>
    </row>
    <row r="29" customFormat="false" ht="15" hidden="false" customHeight="true" outlineLevel="0" collapsed="false">
      <c r="A29" s="3" t="s">
        <v>198</v>
      </c>
      <c r="C29" s="56"/>
    </row>
    <row r="30" customFormat="false" ht="15" hidden="false" customHeight="true" outlineLevel="0" collapsed="false">
      <c r="A30" s="3" t="s">
        <v>199</v>
      </c>
      <c r="C30" s="56"/>
    </row>
    <row r="31" customFormat="false" ht="15" hidden="false" customHeight="true" outlineLevel="0" collapsed="false">
      <c r="A31" s="3" t="s">
        <v>200</v>
      </c>
      <c r="C31" s="56"/>
    </row>
    <row r="32" customFormat="false" ht="15" hidden="false" customHeight="true" outlineLevel="0" collapsed="false">
      <c r="A32" s="3" t="s">
        <v>201</v>
      </c>
      <c r="C32" s="56"/>
    </row>
    <row r="33" customFormat="false" ht="15" hidden="false" customHeight="true" outlineLevel="0" collapsed="false">
      <c r="A33" s="3" t="s">
        <v>202</v>
      </c>
      <c r="C33" s="56"/>
    </row>
    <row r="34" customFormat="false" ht="15" hidden="false" customHeight="true" outlineLevel="0" collapsed="false">
      <c r="C34" s="56"/>
    </row>
    <row r="35" customFormat="false" ht="15" hidden="false" customHeight="true" outlineLevel="0" collapsed="false">
      <c r="A35" s="3" t="s">
        <v>203</v>
      </c>
      <c r="C35" s="56"/>
    </row>
  </sheetData>
  <sheetProtection sheet="true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2026-01-31T20:09:39Z</dcterms:created>
  <dc:creator>openpyxl</dc:creator>
  <dc:description/>
  <dc:language>en-US</dc:language>
  <cp:lastModifiedBy/>
  <dcterms:modified xsi:type="dcterms:W3CDTF">2026-02-03T17:44:25Z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