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d.docs.live.net/BF82B7B596C5A12F/文档/"/>
    </mc:Choice>
  </mc:AlternateContent>
  <xr:revisionPtr revIDLastSave="0" documentId="8_{37553004-086C-41CB-A83C-972EBBDF1C4E}" xr6:coauthVersionLast="47" xr6:coauthVersionMax="47" xr10:uidLastSave="{00000000-0000-0000-0000-000000000000}"/>
  <bookViews>
    <workbookView xWindow="-108" yWindow="-108" windowWidth="23256" windowHeight="12456" tabRatio="500" firstSheet="6" activeTab="2" xr2:uid="{00000000-000D-0000-FFFF-FFFF00000000}"/>
  </bookViews>
  <sheets>
    <sheet name="AIRCRAFT MODELS" sheetId="1" r:id="rId1"/>
    <sheet name="POSITION CONFIGURATIONS" sheetId="2" r:id="rId2"/>
    <sheet name="ULD LOAD INPUT" sheetId="3" r:id="rId3"/>
    <sheet name="ULD MASTER TABLE" sheetId="4" r:id="rId4"/>
    <sheet name="CARGO HOLD VISUAL LAYOUT" sheetId="5" r:id="rId5"/>
    <sheet name="ARM &amp; MOMENT COMPUTATION" sheetId="6" r:id="rId6"/>
    <sheet name="CG &amp; BALANCE DECISION ENGINE" sheetId="7" r:id="rId7"/>
    <sheet name="AIRCRAFT LOAD &amp; TRIM SHEET" sheetId="8" r:id="rId8"/>
    <sheet name="AI SYSTEM EXPLANATION" sheetId="9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3" i="8" l="1"/>
  <c r="D49" i="8"/>
  <c r="C37" i="8"/>
  <c r="K31" i="8"/>
  <c r="C31" i="8"/>
  <c r="K28" i="8"/>
  <c r="C28" i="8"/>
  <c r="K25" i="8"/>
  <c r="C25" i="8"/>
  <c r="K22" i="8"/>
  <c r="C22" i="8"/>
  <c r="C20" i="8"/>
  <c r="K19" i="8"/>
  <c r="C19" i="8"/>
  <c r="C17" i="8"/>
  <c r="K16" i="8"/>
  <c r="C16" i="8"/>
  <c r="J9" i="8"/>
  <c r="B9" i="8"/>
  <c r="B6" i="8"/>
  <c r="B8" i="7"/>
  <c r="J45" i="8" s="1"/>
  <c r="B7" i="7"/>
  <c r="K37" i="8" s="1"/>
  <c r="B4" i="7"/>
  <c r="D15" i="6"/>
  <c r="B15" i="6"/>
  <c r="A15" i="6"/>
  <c r="C15" i="6" s="1"/>
  <c r="E15" i="6" s="1"/>
  <c r="D14" i="6"/>
  <c r="B14" i="6"/>
  <c r="A14" i="6"/>
  <c r="C14" i="6" s="1"/>
  <c r="D13" i="6"/>
  <c r="B13" i="6"/>
  <c r="A13" i="6"/>
  <c r="C13" i="6" s="1"/>
  <c r="D12" i="6"/>
  <c r="B12" i="6"/>
  <c r="A12" i="6"/>
  <c r="C12" i="6" s="1"/>
  <c r="D11" i="6"/>
  <c r="B11" i="6"/>
  <c r="A11" i="6"/>
  <c r="C11" i="6" s="1"/>
  <c r="D10" i="6"/>
  <c r="B10" i="6"/>
  <c r="A10" i="6"/>
  <c r="C10" i="6" s="1"/>
  <c r="D9" i="6"/>
  <c r="B9" i="6"/>
  <c r="A9" i="6"/>
  <c r="C9" i="6" s="1"/>
  <c r="E9" i="6" s="1"/>
  <c r="D8" i="6"/>
  <c r="B8" i="6"/>
  <c r="A8" i="6"/>
  <c r="C8" i="6" s="1"/>
  <c r="E8" i="6" s="1"/>
  <c r="D7" i="6"/>
  <c r="B7" i="6"/>
  <c r="A7" i="6"/>
  <c r="C7" i="6" s="1"/>
  <c r="D6" i="6"/>
  <c r="B6" i="6"/>
  <c r="A6" i="6"/>
  <c r="C6" i="6" s="1"/>
  <c r="D5" i="6"/>
  <c r="C39" i="8" s="1"/>
  <c r="B5" i="6"/>
  <c r="A5" i="6"/>
  <c r="C5" i="6" s="1"/>
  <c r="D4" i="6"/>
  <c r="B4" i="6"/>
  <c r="A4" i="6"/>
  <c r="C4" i="6" s="1"/>
  <c r="C15" i="5"/>
  <c r="B15" i="5"/>
  <c r="D15" i="5" s="1"/>
  <c r="A15" i="5"/>
  <c r="C14" i="5"/>
  <c r="B14" i="5"/>
  <c r="D14" i="5" s="1"/>
  <c r="A14" i="5"/>
  <c r="C13" i="5"/>
  <c r="B13" i="5"/>
  <c r="D13" i="5" s="1"/>
  <c r="E13" i="5" s="1"/>
  <c r="A13" i="5"/>
  <c r="C12" i="5"/>
  <c r="B12" i="5"/>
  <c r="D12" i="5" s="1"/>
  <c r="A12" i="5"/>
  <c r="C11" i="5"/>
  <c r="B11" i="5"/>
  <c r="D11" i="5" s="1"/>
  <c r="A11" i="5"/>
  <c r="C10" i="5"/>
  <c r="B10" i="5"/>
  <c r="D10" i="5" s="1"/>
  <c r="A10" i="5"/>
  <c r="C9" i="5"/>
  <c r="B9" i="5"/>
  <c r="D9" i="5" s="1"/>
  <c r="E9" i="5" s="1"/>
  <c r="A9" i="5"/>
  <c r="C8" i="5"/>
  <c r="B8" i="5"/>
  <c r="D8" i="5" s="1"/>
  <c r="A8" i="5"/>
  <c r="C7" i="5"/>
  <c r="B7" i="5"/>
  <c r="D7" i="5" s="1"/>
  <c r="E7" i="5" s="1"/>
  <c r="A7" i="5"/>
  <c r="C6" i="5"/>
  <c r="B6" i="5"/>
  <c r="D6" i="5" s="1"/>
  <c r="A6" i="5"/>
  <c r="C5" i="5"/>
  <c r="B5" i="5"/>
  <c r="D5" i="5" s="1"/>
  <c r="E5" i="5" s="1"/>
  <c r="A5" i="5"/>
  <c r="C4" i="5"/>
  <c r="B4" i="5"/>
  <c r="D4" i="5" s="1"/>
  <c r="A4" i="5"/>
  <c r="C38" i="8" l="1"/>
  <c r="E15" i="5"/>
  <c r="D17" i="6"/>
  <c r="B12" i="7" s="1"/>
  <c r="C36" i="8" s="1"/>
  <c r="E11" i="5"/>
  <c r="E7" i="6"/>
  <c r="E12" i="6"/>
  <c r="K38" i="8"/>
  <c r="E11" i="6"/>
  <c r="E6" i="6"/>
  <c r="E5" i="6"/>
  <c r="E13" i="6"/>
  <c r="E10" i="6"/>
  <c r="F7" i="5"/>
  <c r="C32" i="8" s="1"/>
  <c r="F11" i="5"/>
  <c r="K26" i="8" s="1"/>
  <c r="F15" i="5"/>
  <c r="E14" i="6"/>
  <c r="E8" i="5"/>
  <c r="F8" i="5"/>
  <c r="K17" i="8" s="1"/>
  <c r="E14" i="5"/>
  <c r="F14" i="5"/>
  <c r="E4" i="5"/>
  <c r="F4" i="5"/>
  <c r="E12" i="5"/>
  <c r="F12" i="5"/>
  <c r="K29" i="8" s="1"/>
  <c r="E4" i="6"/>
  <c r="E10" i="5"/>
  <c r="F10" i="5"/>
  <c r="K23" i="8" s="1"/>
  <c r="F5" i="5"/>
  <c r="C26" i="8" s="1"/>
  <c r="F9" i="5"/>
  <c r="K20" i="8" s="1"/>
  <c r="F13" i="5"/>
  <c r="K32" i="8" s="1"/>
  <c r="E6" i="5"/>
  <c r="F6" i="5"/>
  <c r="C29" i="8" s="1"/>
  <c r="J43" i="8"/>
  <c r="D47" i="8" l="1"/>
  <c r="C23" i="8"/>
  <c r="C40" i="8"/>
  <c r="E17" i="6"/>
  <c r="B13" i="7" s="1"/>
  <c r="B15" i="7" s="1"/>
  <c r="B21" i="7" s="1"/>
  <c r="A44" i="8" s="1"/>
  <c r="K36" i="8" l="1"/>
  <c r="J44" i="8"/>
  <c r="B19" i="7"/>
  <c r="D48" i="8" l="1"/>
  <c r="K39" i="8"/>
</calcChain>
</file>

<file path=xl/sharedStrings.xml><?xml version="1.0" encoding="utf-8"?>
<sst xmlns="http://schemas.openxmlformats.org/spreadsheetml/2006/main" count="390" uniqueCount="200">
  <si>
    <t>Aircraft Type</t>
  </si>
  <si>
    <t>Max Positions</t>
  </si>
  <si>
    <t>Main Deck Pos</t>
  </si>
  <si>
    <t>Lower Deck Pos</t>
  </si>
  <si>
    <t>CG Forward (m)</t>
  </si>
  <si>
    <t>CG Aft (m)</t>
  </si>
  <si>
    <t>Max Payload (kg)</t>
  </si>
  <si>
    <t>A320</t>
  </si>
  <si>
    <t>B737</t>
  </si>
  <si>
    <t>B777</t>
  </si>
  <si>
    <t>B777F</t>
  </si>
  <si>
    <t>B747F</t>
  </si>
  <si>
    <t>Position</t>
  </si>
  <si>
    <t>Arm (m)</t>
  </si>
  <si>
    <t>Deck</t>
  </si>
  <si>
    <t>Aircraft</t>
  </si>
  <si>
    <t>A1</t>
  </si>
  <si>
    <t>Lower</t>
  </si>
  <si>
    <t>A2</t>
  </si>
  <si>
    <t>B1</t>
  </si>
  <si>
    <t>B2</t>
  </si>
  <si>
    <t>C1</t>
  </si>
  <si>
    <t>C2</t>
  </si>
  <si>
    <t>D1</t>
  </si>
  <si>
    <t>D2</t>
  </si>
  <si>
    <t>E1</t>
  </si>
  <si>
    <t>E2</t>
  </si>
  <si>
    <t>F1</t>
  </si>
  <si>
    <t>F2</t>
  </si>
  <si>
    <t>FWD1</t>
  </si>
  <si>
    <t>FWD2</t>
  </si>
  <si>
    <t>AFT1</t>
  </si>
  <si>
    <t>AFT2</t>
  </si>
  <si>
    <t>M1</t>
  </si>
  <si>
    <t>Main</t>
  </si>
  <si>
    <t>M2</t>
  </si>
  <si>
    <t>M3</t>
  </si>
  <si>
    <t>M4</t>
  </si>
  <si>
    <t>M5</t>
  </si>
  <si>
    <t>M6</t>
  </si>
  <si>
    <t>L1</t>
  </si>
  <si>
    <t>L2</t>
  </si>
  <si>
    <t>L3</t>
  </si>
  <si>
    <t>L4</t>
  </si>
  <si>
    <t>L5</t>
  </si>
  <si>
    <t>L6</t>
  </si>
  <si>
    <t>M7</t>
  </si>
  <si>
    <t>M8</t>
  </si>
  <si>
    <t>M9</t>
  </si>
  <si>
    <t>M10</t>
  </si>
  <si>
    <t>ULD Type</t>
  </si>
  <si>
    <t>Weight (kg)</t>
  </si>
  <si>
    <t>Destination</t>
  </si>
  <si>
    <t>📝 INSTRUCTIONS</t>
  </si>
  <si>
    <t>PMC</t>
  </si>
  <si>
    <t>DXB</t>
  </si>
  <si>
    <t>1. Edit Weight values (blue numbers)</t>
  </si>
  <si>
    <t>PAG</t>
  </si>
  <si>
    <t>2. Select ULD Type from dropdown</t>
  </si>
  <si>
    <t>3. All calculations update automatically</t>
  </si>
  <si>
    <t>4. Check TRIM SHEET for results</t>
  </si>
  <si>
    <t>LD-3</t>
  </si>
  <si>
    <t>Max Weight (kg)</t>
  </si>
  <si>
    <t>Compatible Aircraft</t>
  </si>
  <si>
    <t>A320,B737,B777</t>
  </si>
  <si>
    <t>LD-7</t>
  </si>
  <si>
    <t>A320,B777</t>
  </si>
  <si>
    <t>AKE</t>
  </si>
  <si>
    <t>AKH</t>
  </si>
  <si>
    <t>PLA</t>
  </si>
  <si>
    <t>AI CARGO HOLD MONITORING - VISUAL INSPECTION SYSTEM</t>
  </si>
  <si>
    <t>Actual Weight</t>
  </si>
  <si>
    <t>Max Weight</t>
  </si>
  <si>
    <t>Utilization %</t>
  </si>
  <si>
    <t>Status</t>
  </si>
  <si>
    <t>PHYSICS CALCULATION ENGINE - CENTER OF GRAVITY ANALYSIS</t>
  </si>
  <si>
    <t>Moment (kg·m)</t>
  </si>
  <si>
    <t>TOTALS:</t>
  </si>
  <si>
    <t>AI SAFETY EVALUATION &amp; DECISION SYSTEM</t>
  </si>
  <si>
    <t>AIRCRAFT PARAMETERS</t>
  </si>
  <si>
    <t>Aircraft Type:</t>
  </si>
  <si>
    <t>CG SAFETY ENVELOPE</t>
  </si>
  <si>
    <t>Forward CG Limit (m):</t>
  </si>
  <si>
    <t>Aft CG Limit (m):</t>
  </si>
  <si>
    <t>COMPUTED VALUES</t>
  </si>
  <si>
    <t>Total Cargo Weight (kg):</t>
  </si>
  <si>
    <t>Total Moment (kg·m):</t>
  </si>
  <si>
    <t>CENTER OF GRAVITY (m):</t>
  </si>
  <si>
    <t>AI SAFETY DECISION</t>
  </si>
  <si>
    <t>CG Status:</t>
  </si>
  <si>
    <t>Overall Load Safety:</t>
  </si>
  <si>
    <t>AIRCRAFT LOAD AND TRIM SHEET</t>
  </si>
  <si>
    <t>AI-POWERED LOAD PLANNING SYSTEM | AUTO-GENERATED DOCUMENT</t>
  </si>
  <si>
    <t>AIRCRAFT SELECTION</t>
  </si>
  <si>
    <t>Selected Aircraft Model</t>
  </si>
  <si>
    <t>FLIGHT INFORMATION</t>
  </si>
  <si>
    <t>SYSTEM INFORMATION</t>
  </si>
  <si>
    <t>Load Controller:</t>
  </si>
  <si>
    <t>AI SYSTEM</t>
  </si>
  <si>
    <t>Flight Number:</t>
  </si>
  <si>
    <t>CA-8042</t>
  </si>
  <si>
    <t>Status:</t>
  </si>
  <si>
    <t>AUTO-GENERATED</t>
  </si>
  <si>
    <t>Route:</t>
  </si>
  <si>
    <t>PVG → LAX</t>
  </si>
  <si>
    <t>Version:</t>
  </si>
  <si>
    <t>v1.0</t>
  </si>
  <si>
    <t>Date:</t>
  </si>
  <si>
    <t>Time:</t>
  </si>
  <si>
    <t>🛫 AIRCRAFT CARGO HOLD - VISUAL LOAD DISTRIBUTION</t>
  </si>
  <si>
    <t>TOP VIEW - CARGO COMPARTMENTS</t>
  </si>
  <si>
    <t>▲ NOSE</t>
  </si>
  <si>
    <t>POS A1</t>
  </si>
  <si>
    <t>POS A2</t>
  </si>
  <si>
    <t>POS B1</t>
  </si>
  <si>
    <t>POS B2</t>
  </si>
  <si>
    <t>POS C1</t>
  </si>
  <si>
    <t>POS C2</t>
  </si>
  <si>
    <t>POS D1</t>
  </si>
  <si>
    <t>POS D2</t>
  </si>
  <si>
    <t>POS E1</t>
  </si>
  <si>
    <t>POS E2</t>
  </si>
  <si>
    <t>POS F1</t>
  </si>
  <si>
    <t>POS F2</t>
  </si>
  <si>
    <t>▼ TAIL</t>
  </si>
  <si>
    <t>LOAD SUMMARY</t>
  </si>
  <si>
    <t>CENTER OF GRAVITY ANALYSIS</t>
  </si>
  <si>
    <t>Total Cargo Weight:</t>
  </si>
  <si>
    <t>Computed CG:</t>
  </si>
  <si>
    <t>Total ULD Count:</t>
  </si>
  <si>
    <t>Forward Limit:</t>
  </si>
  <si>
    <t>Main Deck Weight:</t>
  </si>
  <si>
    <t>Aft Limit:</t>
  </si>
  <si>
    <t>Lower Deck Weight:</t>
  </si>
  <si>
    <t>Overload Alerts:</t>
  </si>
  <si>
    <t>CG ENVELOPE VISUALIZATION</t>
  </si>
  <si>
    <t>⚠️ FLIGHT SAFETY STATUS</t>
  </si>
  <si>
    <t>Forward Limit</t>
  </si>
  <si>
    <t>Current CG</t>
  </si>
  <si>
    <t>Aft Limit</t>
  </si>
  <si>
    <t>DETAILED STATUS CHECKS</t>
  </si>
  <si>
    <t>Weight Distribution:</t>
  </si>
  <si>
    <t>CG Position:</t>
  </si>
  <si>
    <t>ULD Compliance:</t>
  </si>
  <si>
    <t>CERTIFICATION &amp; APPROVAL</t>
  </si>
  <si>
    <t>Prepared By:</t>
  </si>
  <si>
    <t>AI Load Planning System v1.0</t>
  </si>
  <si>
    <t>Approved By:</t>
  </si>
  <si>
    <t>Load Control Supervisor</t>
  </si>
  <si>
    <t>Generated:</t>
  </si>
  <si>
    <t>Signature:</t>
  </si>
  <si>
    <t>_______________________</t>
  </si>
  <si>
    <t>This document is auto-generated by AI-powered rule-based load planning system. All calculations are based on aircraft manufacturer specifications and regulatory requirements.</t>
  </si>
  <si>
    <t>EXPLAINABLE AI SYSTEM DOCUMENTATION</t>
  </si>
  <si>
    <t>SECTION</t>
  </si>
  <si>
    <t>DESCRIPTION</t>
  </si>
  <si>
    <t>HOW IT WORKS</t>
  </si>
  <si>
    <t>1. AI KNOWLEDGE BASE</t>
  </si>
  <si>
    <t>ULD MASTER TABLE sheet</t>
  </si>
  <si>
    <t>Stores aircraft cargo container specifications. Acts as AI 'memory' that the system queries for weight limits and deck assignments.</t>
  </si>
  <si>
    <t>2. KNOWLEDGE LOOKUP</t>
  </si>
  <si>
    <t>XLOOKUP formulas</t>
  </si>
  <si>
    <t>Simulates AI information retrieval. When user enters a ULD type, formulas automatically fetch max weight from knowledge base.</t>
  </si>
  <si>
    <t>3. RULE-BASED INFERENCE</t>
  </si>
  <si>
    <t>IF-THEN logic in formulas</t>
  </si>
  <si>
    <t>AI decision-making using nested IF statements: IF weight &gt; max THEN OVERLOAD, ELSE IF weight &gt; 90% THEN NEAR LIMIT, ELSE SAFE</t>
  </si>
  <si>
    <t>4. REAL-TIME MONITORING</t>
  </si>
  <si>
    <t>Dynamic cell updates</t>
  </si>
  <si>
    <t>All calculations update instantly when user changes input. Simulates AI continuously monitoring cargo status.</t>
  </si>
  <si>
    <t>5. VISUAL INSPECTION</t>
  </si>
  <si>
    <t>CARGO HOLD VISUAL LAYOUT</t>
  </si>
  <si>
    <t>Color-coded status display (Red/Yellow/Green) represents AI visual pattern recognition of unsafe conditions.</t>
  </si>
  <si>
    <t>6. PHYSICS ENGINE</t>
  </si>
  <si>
    <t>Weight × Arm = Moment</t>
  </si>
  <si>
    <t>Automated calculation of aircraft balance physics. CG = Total Moment / Total Weight computed automatically.</t>
  </si>
  <si>
    <t>7. SAFETY DECISION LOGIC</t>
  </si>
  <si>
    <t>CG &amp; BALANCE DECISION ENGINE</t>
  </si>
  <si>
    <t>AI evaluates if CG is within 14-28m envelope. Makes binary safety decision: SAFE or NOT SAFE for flight.</t>
  </si>
  <si>
    <t>8. AUTOMATED REPORTING</t>
  </si>
  <si>
    <t>AUTO-GENERATED TRIM SHEET</t>
  </si>
  <si>
    <t>AI compiles all data into professional flight document automatically. No manual intervention required.</t>
  </si>
  <si>
    <t>WHY THIS IS AI:</t>
  </si>
  <si>
    <t>• Knowledge Representation</t>
  </si>
  <si>
    <t>Structured data storage (ULD Master Table)</t>
  </si>
  <si>
    <t>• Inference Engine</t>
  </si>
  <si>
    <t>Rule-based decision making (IF-THEN logic)</t>
  </si>
  <si>
    <t>• Automated Reasoning</t>
  </si>
  <si>
    <t>CG safety evaluation without human input</t>
  </si>
  <si>
    <t>• Pattern Recognition</t>
  </si>
  <si>
    <t>Visual status monitoring and alerts</t>
  </si>
  <si>
    <t>• Expert System</t>
  </si>
  <si>
    <t>Encodes aviation engineering expertise in formulas</t>
  </si>
  <si>
    <t>EXPLAINABILITY:</t>
  </si>
  <si>
    <t>Every decision can be traced:</t>
  </si>
  <si>
    <t>1. Input → Which ULD type selected</t>
  </si>
  <si>
    <t>2. Lookup → What max weight retrieved</t>
  </si>
  <si>
    <t>3. Comparison → Weight vs limit calculation</t>
  </si>
  <si>
    <t>4. Decision → Clear status determination</t>
  </si>
  <si>
    <t>5. Output → Visible in trim sheet</t>
  </si>
  <si>
    <t>This represents a transparent, rule-based AI system where every calculation and decision is visible and auditable.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</si>
</sst>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24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11"/>
      <color rgb="FFFF0000"/>
      <name val="Arial"/>
      <charset val="1"/>
    </font>
    <font>
      <sz val="11"/>
      <color rgb="FF0000FF"/>
      <name val="Arial"/>
      <charset val="1"/>
    </font>
    <font>
      <i/>
      <sz val="9"/>
      <color rgb="FF808080"/>
      <name val="Arial"/>
      <charset val="1"/>
    </font>
    <font>
      <b/>
      <sz val="14"/>
      <color rgb="FFFFFFFF"/>
      <name val="Arial"/>
      <charset val="1"/>
    </font>
    <font>
      <b/>
      <sz val="11"/>
      <name val="Arial"/>
      <charset val="1"/>
    </font>
    <font>
      <b/>
      <sz val="12"/>
      <name val="Arial"/>
      <charset val="1"/>
    </font>
    <font>
      <b/>
      <sz val="14"/>
      <color rgb="FFFF0000"/>
      <name val="Arial"/>
      <charset val="1"/>
    </font>
    <font>
      <b/>
      <sz val="18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name val="Arial"/>
      <charset val="1"/>
    </font>
    <font>
      <b/>
      <sz val="11"/>
      <color rgb="FF0000FF"/>
      <name val="Arial"/>
      <charset val="1"/>
    </font>
    <font>
      <b/>
      <sz val="10"/>
      <color rgb="FF0000FF"/>
      <name val="Arial"/>
      <charset val="1"/>
    </font>
    <font>
      <sz val="10"/>
      <color rgb="FFC00000"/>
      <name val="Arial"/>
      <charset val="1"/>
    </font>
    <font>
      <i/>
      <sz val="9"/>
      <name val="Arial"/>
      <charset val="1"/>
    </font>
    <font>
      <b/>
      <sz val="8"/>
      <name val="Arial"/>
      <charset val="1"/>
    </font>
    <font>
      <b/>
      <sz val="9"/>
      <name val="Arial"/>
      <charset val="1"/>
    </font>
    <font>
      <b/>
      <sz val="14"/>
      <name val="Arial"/>
      <charset val="1"/>
    </font>
    <font>
      <b/>
      <sz val="10"/>
      <color rgb="FFFFFFFF"/>
      <name val="Arial"/>
      <charset val="1"/>
    </font>
    <font>
      <i/>
      <sz val="7"/>
      <color rgb="FF7F7F7F"/>
      <name val="Arial"/>
      <charset val="1"/>
    </font>
    <font>
      <b/>
      <sz val="12"/>
      <color rgb="FF7030A0"/>
      <name val="Arial"/>
      <charset val="1"/>
    </font>
    <font>
      <sz val="11"/>
      <color rgb="FF0000FF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305496"/>
        <bgColor rgb="FF1F4E78"/>
      </patternFill>
    </fill>
    <fill>
      <patternFill patternType="solid">
        <fgColor rgb="FFC00000"/>
        <bgColor rgb="FFFF0000"/>
      </patternFill>
    </fill>
    <fill>
      <patternFill patternType="solid">
        <fgColor rgb="FF548235"/>
        <bgColor rgb="FF339966"/>
      </patternFill>
    </fill>
    <fill>
      <patternFill patternType="solid">
        <fgColor rgb="FF4472C4"/>
        <bgColor rgb="FF666699"/>
      </patternFill>
    </fill>
    <fill>
      <patternFill patternType="solid">
        <fgColor rgb="FFD9D9D9"/>
        <bgColor rgb="FFE7E6E6"/>
      </patternFill>
    </fill>
    <fill>
      <patternFill patternType="solid">
        <fgColor rgb="FFE7E6E6"/>
        <bgColor rgb="FFD9D9D9"/>
      </patternFill>
    </fill>
    <fill>
      <patternFill patternType="solid">
        <fgColor rgb="FFC65911"/>
        <bgColor rgb="FF993300"/>
      </patternFill>
    </fill>
    <fill>
      <patternFill patternType="solid">
        <fgColor rgb="FF7030A0"/>
        <bgColor rgb="FF993366"/>
      </patternFill>
    </fill>
    <fill>
      <patternFill patternType="solid">
        <fgColor rgb="FF7F7F7F"/>
        <bgColor rgb="FF808080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2" fillId="3" borderId="0" xfId="0" applyFont="1" applyFill="1" applyAlignment="1">
      <alignment horizontal="center" vertical="center"/>
    </xf>
    <xf numFmtId="0" fontId="5" fillId="0" borderId="0" xfId="0" applyFont="1"/>
    <xf numFmtId="164" fontId="0" fillId="0" borderId="0" xfId="0" applyNumberFormat="1"/>
    <xf numFmtId="0" fontId="1" fillId="5" borderId="0" xfId="0" applyFont="1" applyFill="1" applyAlignment="1">
      <alignment horizontal="center" vertical="center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3" fontId="0" fillId="0" borderId="0" xfId="0" applyNumberFormat="1"/>
    <xf numFmtId="165" fontId="0" fillId="0" borderId="0" xfId="0" applyNumberFormat="1"/>
    <xf numFmtId="2" fontId="9" fillId="0" borderId="0" xfId="0" applyNumberFormat="1" applyFont="1"/>
    <xf numFmtId="0" fontId="16" fillId="0" borderId="0" xfId="0" applyFont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2" xfId="0" applyBorder="1"/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8" fillId="8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0" fillId="0" borderId="4" xfId="0" applyBorder="1"/>
    <xf numFmtId="2" fontId="0" fillId="0" borderId="0" xfId="0" applyNumberFormat="1"/>
    <xf numFmtId="0" fontId="20" fillId="11" borderId="0" xfId="0" applyFont="1" applyFill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20" fillId="2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7" fillId="7" borderId="0" xfId="0" applyFont="1" applyFill="1"/>
    <xf numFmtId="0" fontId="7" fillId="7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2" fillId="0" borderId="0" xfId="0" applyFont="1"/>
    <xf numFmtId="0" fontId="16" fillId="0" borderId="0" xfId="0" applyFont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0" fillId="0" borderId="0" xfId="0" applyAlignment="1">
      <alignment vertical="center" wrapText="1"/>
    </xf>
    <xf numFmtId="0" fontId="23" fillId="0" borderId="0" xfId="0" applyFont="1"/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0" fillId="0" borderId="0" xfId="0" applyAlignment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6" fillId="10" borderId="0" xfId="0" applyFont="1" applyFill="1" applyAlignment="1">
      <alignment horizontal="center" vertical="center"/>
    </xf>
  </cellXfs>
  <cellStyles count="1">
    <cellStyle name="Normal" xfId="0" builtinId="0"/>
  </cellStyles>
  <dxfs count="46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E7E6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C65911"/>
      <rgbColor rgb="FF666699"/>
      <rgbColor rgb="FF7F7F7F"/>
      <rgbColor rgb="FF1F4E78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zoomScaleNormal="100" workbookViewId="0">
      <selection activeCell="D8" sqref="D8"/>
    </sheetView>
  </sheetViews>
  <sheetFormatPr defaultColWidth="8.7109375" defaultRowHeight="14.45"/>
  <cols>
    <col min="1" max="1" width="15" customWidth="1"/>
    <col min="2" max="3" width="14" customWidth="1"/>
    <col min="4" max="4" width="15" customWidth="1"/>
    <col min="5" max="5" width="16" customWidth="1"/>
    <col min="6" max="6" width="14" customWidth="1"/>
    <col min="7" max="7" width="18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>
        <v>12</v>
      </c>
      <c r="C2" s="1">
        <v>0</v>
      </c>
      <c r="D2" s="1">
        <v>12</v>
      </c>
      <c r="E2" s="1">
        <v>14</v>
      </c>
      <c r="F2" s="1">
        <v>28</v>
      </c>
      <c r="G2" s="1">
        <v>20000</v>
      </c>
    </row>
    <row r="3" spans="1:7">
      <c r="A3" s="1" t="s">
        <v>8</v>
      </c>
      <c r="B3" s="1">
        <v>4</v>
      </c>
      <c r="C3" s="1">
        <v>0</v>
      </c>
      <c r="D3" s="1">
        <v>4</v>
      </c>
      <c r="E3" s="1">
        <v>12.5</v>
      </c>
      <c r="F3" s="1">
        <v>24.5</v>
      </c>
      <c r="G3" s="1">
        <v>20000</v>
      </c>
    </row>
    <row r="4" spans="1:7">
      <c r="A4" s="1" t="s">
        <v>9</v>
      </c>
      <c r="B4" s="1">
        <v>12</v>
      </c>
      <c r="C4" s="1">
        <v>6</v>
      </c>
      <c r="D4" s="1">
        <v>6</v>
      </c>
      <c r="E4" s="1">
        <v>15</v>
      </c>
      <c r="F4" s="1">
        <v>30</v>
      </c>
      <c r="G4" s="1">
        <v>100000</v>
      </c>
    </row>
    <row r="5" spans="1:7">
      <c r="A5" s="1" t="s">
        <v>10</v>
      </c>
      <c r="B5" s="1">
        <v>12</v>
      </c>
      <c r="C5" s="1">
        <v>6</v>
      </c>
      <c r="D5" s="1">
        <v>6</v>
      </c>
      <c r="E5" s="1">
        <v>15</v>
      </c>
      <c r="F5" s="1">
        <v>30</v>
      </c>
      <c r="G5" s="1">
        <v>100000</v>
      </c>
    </row>
    <row r="6" spans="1:7" ht="15">
      <c r="A6" s="1" t="s">
        <v>11</v>
      </c>
      <c r="B6" s="1">
        <v>14</v>
      </c>
      <c r="C6" s="1">
        <v>10</v>
      </c>
      <c r="D6" s="1">
        <v>4</v>
      </c>
      <c r="E6" s="1">
        <v>16</v>
      </c>
      <c r="F6" s="1">
        <v>32</v>
      </c>
      <c r="G6" s="1">
        <v>120000</v>
      </c>
    </row>
    <row r="7" spans="1:7" ht="15">
      <c r="A7" s="1"/>
      <c r="B7" s="1"/>
      <c r="C7" s="1"/>
      <c r="D7" s="1"/>
      <c r="E7" s="1"/>
      <c r="F7" s="1"/>
      <c r="G7" s="1"/>
    </row>
    <row r="8" spans="1:7" ht="15">
      <c r="A8" s="1"/>
      <c r="B8" s="1"/>
      <c r="C8" s="1"/>
      <c r="D8" s="1"/>
      <c r="E8" s="1"/>
      <c r="F8" s="1"/>
      <c r="G8" s="1"/>
    </row>
    <row r="9" spans="1:7" ht="15">
      <c r="A9" s="1"/>
      <c r="B9" s="1"/>
      <c r="C9" s="1"/>
      <c r="D9" s="1"/>
      <c r="E9" s="1"/>
      <c r="F9" s="1"/>
      <c r="G9" s="1"/>
    </row>
    <row r="10" spans="1:7" ht="15">
      <c r="A10" s="1"/>
      <c r="B10" s="1"/>
      <c r="C10" s="1"/>
      <c r="D10" s="1"/>
      <c r="E10" s="1"/>
      <c r="F10" s="1"/>
      <c r="G10" s="1"/>
    </row>
    <row r="11" spans="1:7" ht="15">
      <c r="A11" s="1"/>
      <c r="B11" s="1"/>
      <c r="C11" s="1"/>
      <c r="D11" s="1"/>
      <c r="E11" s="1"/>
      <c r="F11" s="1"/>
      <c r="G11" s="1"/>
    </row>
    <row r="12" spans="1:7" ht="15">
      <c r="A12" s="1"/>
      <c r="B12" s="1"/>
      <c r="C12" s="1"/>
      <c r="D12" s="1"/>
      <c r="E12" s="1"/>
      <c r="F12" s="1"/>
      <c r="G12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5"/>
  <sheetViews>
    <sheetView topLeftCell="A42" zoomScaleNormal="100" workbookViewId="0">
      <selection activeCell="E59" sqref="E59"/>
    </sheetView>
  </sheetViews>
  <sheetFormatPr defaultColWidth="8.7109375" defaultRowHeight="14.45"/>
  <cols>
    <col min="1" max="4" width="12" customWidth="1"/>
  </cols>
  <sheetData>
    <row r="1" spans="1:4">
      <c r="A1" s="3" t="s">
        <v>12</v>
      </c>
      <c r="B1" s="3" t="s">
        <v>13</v>
      </c>
      <c r="C1" s="3" t="s">
        <v>14</v>
      </c>
      <c r="D1" s="3" t="s">
        <v>15</v>
      </c>
    </row>
    <row r="2" spans="1:4">
      <c r="A2" s="1" t="s">
        <v>16</v>
      </c>
      <c r="B2" s="1">
        <v>12.5</v>
      </c>
      <c r="C2" s="1" t="s">
        <v>17</v>
      </c>
      <c r="D2" s="1" t="s">
        <v>7</v>
      </c>
    </row>
    <row r="3" spans="1:4">
      <c r="A3" s="1" t="s">
        <v>18</v>
      </c>
      <c r="B3" s="1">
        <v>13</v>
      </c>
      <c r="C3" s="1" t="s">
        <v>17</v>
      </c>
      <c r="D3" s="1" t="s">
        <v>7</v>
      </c>
    </row>
    <row r="4" spans="1:4">
      <c r="A4" s="1" t="s">
        <v>19</v>
      </c>
      <c r="B4" s="1">
        <v>16</v>
      </c>
      <c r="C4" s="1" t="s">
        <v>17</v>
      </c>
      <c r="D4" s="1" t="s">
        <v>7</v>
      </c>
    </row>
    <row r="5" spans="1:4">
      <c r="A5" s="1" t="s">
        <v>20</v>
      </c>
      <c r="B5" s="1">
        <v>16.5</v>
      </c>
      <c r="C5" s="1" t="s">
        <v>17</v>
      </c>
      <c r="D5" s="1" t="s">
        <v>7</v>
      </c>
    </row>
    <row r="6" spans="1:4">
      <c r="A6" s="1" t="s">
        <v>21</v>
      </c>
      <c r="B6" s="1">
        <v>19.5</v>
      </c>
      <c r="C6" s="1" t="s">
        <v>17</v>
      </c>
      <c r="D6" s="1" t="s">
        <v>7</v>
      </c>
    </row>
    <row r="7" spans="1:4">
      <c r="A7" s="1" t="s">
        <v>22</v>
      </c>
      <c r="B7" s="1">
        <v>20</v>
      </c>
      <c r="C7" s="1" t="s">
        <v>17</v>
      </c>
      <c r="D7" s="1" t="s">
        <v>7</v>
      </c>
    </row>
    <row r="8" spans="1:4">
      <c r="A8" s="1" t="s">
        <v>23</v>
      </c>
      <c r="B8" s="1">
        <v>23</v>
      </c>
      <c r="C8" s="1" t="s">
        <v>17</v>
      </c>
      <c r="D8" s="1" t="s">
        <v>7</v>
      </c>
    </row>
    <row r="9" spans="1:4">
      <c r="A9" s="1" t="s">
        <v>24</v>
      </c>
      <c r="B9" s="1">
        <v>23.5</v>
      </c>
      <c r="C9" s="1" t="s">
        <v>17</v>
      </c>
      <c r="D9" s="1" t="s">
        <v>7</v>
      </c>
    </row>
    <row r="10" spans="1:4">
      <c r="A10" s="1" t="s">
        <v>25</v>
      </c>
      <c r="B10" s="1">
        <v>27</v>
      </c>
      <c r="C10" s="1" t="s">
        <v>17</v>
      </c>
      <c r="D10" s="1" t="s">
        <v>7</v>
      </c>
    </row>
    <row r="11" spans="1:4">
      <c r="A11" s="1" t="s">
        <v>26</v>
      </c>
      <c r="B11" s="1">
        <v>27.5</v>
      </c>
      <c r="C11" s="1" t="s">
        <v>17</v>
      </c>
      <c r="D11" s="1" t="s">
        <v>7</v>
      </c>
    </row>
    <row r="12" spans="1:4">
      <c r="A12" s="1" t="s">
        <v>27</v>
      </c>
      <c r="B12" s="1">
        <v>31</v>
      </c>
      <c r="C12" s="1" t="s">
        <v>17</v>
      </c>
      <c r="D12" s="1" t="s">
        <v>7</v>
      </c>
    </row>
    <row r="13" spans="1:4">
      <c r="A13" s="1" t="s">
        <v>28</v>
      </c>
      <c r="B13" s="1">
        <v>31.5</v>
      </c>
      <c r="C13" s="1" t="s">
        <v>17</v>
      </c>
      <c r="D13" s="1" t="s">
        <v>7</v>
      </c>
    </row>
    <row r="14" spans="1:4">
      <c r="A14" s="1" t="s">
        <v>29</v>
      </c>
      <c r="B14" s="1">
        <v>10.5</v>
      </c>
      <c r="C14" s="1" t="s">
        <v>17</v>
      </c>
      <c r="D14" s="1" t="s">
        <v>8</v>
      </c>
    </row>
    <row r="15" spans="1:4">
      <c r="A15" s="1" t="s">
        <v>30</v>
      </c>
      <c r="B15" s="1">
        <v>12</v>
      </c>
      <c r="C15" s="1" t="s">
        <v>17</v>
      </c>
      <c r="D15" s="1" t="s">
        <v>8</v>
      </c>
    </row>
    <row r="16" spans="1:4">
      <c r="A16" s="1" t="s">
        <v>31</v>
      </c>
      <c r="B16" s="1">
        <v>20.5</v>
      </c>
      <c r="C16" s="1" t="s">
        <v>17</v>
      </c>
      <c r="D16" s="1" t="s">
        <v>8</v>
      </c>
    </row>
    <row r="17" spans="1:4">
      <c r="A17" s="1" t="s">
        <v>32</v>
      </c>
      <c r="B17" s="1">
        <v>22</v>
      </c>
      <c r="C17" s="1" t="s">
        <v>17</v>
      </c>
      <c r="D17" s="1" t="s">
        <v>8</v>
      </c>
    </row>
    <row r="18" spans="1:4">
      <c r="A18" s="1" t="s">
        <v>33</v>
      </c>
      <c r="B18" s="1">
        <v>18</v>
      </c>
      <c r="C18" s="1" t="s">
        <v>34</v>
      </c>
      <c r="D18" s="1" t="s">
        <v>9</v>
      </c>
    </row>
    <row r="19" spans="1:4">
      <c r="A19" s="1" t="s">
        <v>35</v>
      </c>
      <c r="B19" s="1">
        <v>20.5</v>
      </c>
      <c r="C19" s="1" t="s">
        <v>34</v>
      </c>
      <c r="D19" s="1" t="s">
        <v>9</v>
      </c>
    </row>
    <row r="20" spans="1:4">
      <c r="A20" s="1" t="s">
        <v>36</v>
      </c>
      <c r="B20" s="1">
        <v>23</v>
      </c>
      <c r="C20" s="1" t="s">
        <v>34</v>
      </c>
      <c r="D20" s="1" t="s">
        <v>9</v>
      </c>
    </row>
    <row r="21" spans="1:4">
      <c r="A21" s="1" t="s">
        <v>37</v>
      </c>
      <c r="B21" s="1">
        <v>25.5</v>
      </c>
      <c r="C21" s="1" t="s">
        <v>34</v>
      </c>
      <c r="D21" s="1" t="s">
        <v>9</v>
      </c>
    </row>
    <row r="22" spans="1:4">
      <c r="A22" s="1" t="s">
        <v>38</v>
      </c>
      <c r="B22" s="1">
        <v>28</v>
      </c>
      <c r="C22" s="1" t="s">
        <v>34</v>
      </c>
      <c r="D22" s="1" t="s">
        <v>9</v>
      </c>
    </row>
    <row r="23" spans="1:4">
      <c r="A23" s="1" t="s">
        <v>39</v>
      </c>
      <c r="B23" s="1">
        <v>30.5</v>
      </c>
      <c r="C23" s="1" t="s">
        <v>34</v>
      </c>
      <c r="D23" s="1" t="s">
        <v>9</v>
      </c>
    </row>
    <row r="24" spans="1:4">
      <c r="A24" s="1" t="s">
        <v>40</v>
      </c>
      <c r="B24" s="1">
        <v>12</v>
      </c>
      <c r="C24" s="1" t="s">
        <v>17</v>
      </c>
      <c r="D24" s="1" t="s">
        <v>9</v>
      </c>
    </row>
    <row r="25" spans="1:4">
      <c r="A25" s="1" t="s">
        <v>41</v>
      </c>
      <c r="B25" s="1">
        <v>14.5</v>
      </c>
      <c r="C25" s="1" t="s">
        <v>17</v>
      </c>
      <c r="D25" s="1" t="s">
        <v>9</v>
      </c>
    </row>
    <row r="26" spans="1:4">
      <c r="A26" s="1" t="s">
        <v>42</v>
      </c>
      <c r="B26" s="1">
        <v>17</v>
      </c>
      <c r="C26" s="1" t="s">
        <v>17</v>
      </c>
      <c r="D26" s="1" t="s">
        <v>9</v>
      </c>
    </row>
    <row r="27" spans="1:4">
      <c r="A27" s="1" t="s">
        <v>43</v>
      </c>
      <c r="B27" s="1">
        <v>19.5</v>
      </c>
      <c r="C27" s="1" t="s">
        <v>17</v>
      </c>
      <c r="D27" s="1" t="s">
        <v>9</v>
      </c>
    </row>
    <row r="28" spans="1:4">
      <c r="A28" s="1" t="s">
        <v>44</v>
      </c>
      <c r="B28" s="1">
        <v>22</v>
      </c>
      <c r="C28" s="1" t="s">
        <v>17</v>
      </c>
      <c r="D28" s="1" t="s">
        <v>9</v>
      </c>
    </row>
    <row r="29" spans="1:4">
      <c r="A29" s="1" t="s">
        <v>45</v>
      </c>
      <c r="B29" s="1">
        <v>24.5</v>
      </c>
      <c r="C29" s="1" t="s">
        <v>17</v>
      </c>
      <c r="D29" s="1" t="s">
        <v>9</v>
      </c>
    </row>
    <row r="30" spans="1:4">
      <c r="A30" s="1" t="s">
        <v>33</v>
      </c>
      <c r="B30" s="1">
        <v>18</v>
      </c>
      <c r="C30" s="1" t="s">
        <v>34</v>
      </c>
      <c r="D30" s="1" t="s">
        <v>10</v>
      </c>
    </row>
    <row r="31" spans="1:4">
      <c r="A31" s="1" t="s">
        <v>35</v>
      </c>
      <c r="B31" s="1">
        <v>20.5</v>
      </c>
      <c r="C31" s="1" t="s">
        <v>34</v>
      </c>
      <c r="D31" s="1" t="s">
        <v>10</v>
      </c>
    </row>
    <row r="32" spans="1:4">
      <c r="A32" s="1" t="s">
        <v>36</v>
      </c>
      <c r="B32" s="1">
        <v>23</v>
      </c>
      <c r="C32" s="1" t="s">
        <v>34</v>
      </c>
      <c r="D32" s="1" t="s">
        <v>10</v>
      </c>
    </row>
    <row r="33" spans="1:4">
      <c r="A33" s="1" t="s">
        <v>37</v>
      </c>
      <c r="B33" s="1">
        <v>25.5</v>
      </c>
      <c r="C33" s="1" t="s">
        <v>34</v>
      </c>
      <c r="D33" s="1" t="s">
        <v>10</v>
      </c>
    </row>
    <row r="34" spans="1:4">
      <c r="A34" s="1" t="s">
        <v>38</v>
      </c>
      <c r="B34" s="1">
        <v>28</v>
      </c>
      <c r="C34" s="1" t="s">
        <v>34</v>
      </c>
      <c r="D34" s="1" t="s">
        <v>10</v>
      </c>
    </row>
    <row r="35" spans="1:4">
      <c r="A35" s="1" t="s">
        <v>39</v>
      </c>
      <c r="B35" s="1">
        <v>30.5</v>
      </c>
      <c r="C35" s="1" t="s">
        <v>34</v>
      </c>
      <c r="D35" s="1" t="s">
        <v>10</v>
      </c>
    </row>
    <row r="36" spans="1:4">
      <c r="A36" s="1" t="s">
        <v>40</v>
      </c>
      <c r="B36" s="1">
        <v>12</v>
      </c>
      <c r="C36" s="1" t="s">
        <v>17</v>
      </c>
      <c r="D36" s="1" t="s">
        <v>10</v>
      </c>
    </row>
    <row r="37" spans="1:4">
      <c r="A37" s="1" t="s">
        <v>41</v>
      </c>
      <c r="B37" s="1">
        <v>14.5</v>
      </c>
      <c r="C37" s="1" t="s">
        <v>17</v>
      </c>
      <c r="D37" s="1" t="s">
        <v>10</v>
      </c>
    </row>
    <row r="38" spans="1:4">
      <c r="A38" s="1" t="s">
        <v>42</v>
      </c>
      <c r="B38" s="1">
        <v>17</v>
      </c>
      <c r="C38" s="1" t="s">
        <v>17</v>
      </c>
      <c r="D38" s="1" t="s">
        <v>10</v>
      </c>
    </row>
    <row r="39" spans="1:4">
      <c r="A39" s="1" t="s">
        <v>43</v>
      </c>
      <c r="B39" s="1">
        <v>19.5</v>
      </c>
      <c r="C39" s="1" t="s">
        <v>17</v>
      </c>
      <c r="D39" s="1" t="s">
        <v>10</v>
      </c>
    </row>
    <row r="40" spans="1:4">
      <c r="A40" s="1" t="s">
        <v>44</v>
      </c>
      <c r="B40" s="1">
        <v>22</v>
      </c>
      <c r="C40" s="1" t="s">
        <v>17</v>
      </c>
      <c r="D40" s="1" t="s">
        <v>10</v>
      </c>
    </row>
    <row r="41" spans="1:4">
      <c r="A41" s="1" t="s">
        <v>45</v>
      </c>
      <c r="B41" s="1">
        <v>24.5</v>
      </c>
      <c r="C41" s="1" t="s">
        <v>17</v>
      </c>
      <c r="D41" s="1" t="s">
        <v>10</v>
      </c>
    </row>
    <row r="42" spans="1:4" ht="15">
      <c r="A42" s="43" t="s">
        <v>33</v>
      </c>
      <c r="B42" s="43">
        <v>14</v>
      </c>
      <c r="C42" s="43" t="s">
        <v>34</v>
      </c>
      <c r="D42" s="43" t="s">
        <v>11</v>
      </c>
    </row>
    <row r="43" spans="1:4" ht="15">
      <c r="A43" s="43" t="s">
        <v>35</v>
      </c>
      <c r="B43" s="43">
        <v>15.5</v>
      </c>
      <c r="C43" s="43" t="s">
        <v>34</v>
      </c>
      <c r="D43" s="43" t="s">
        <v>11</v>
      </c>
    </row>
    <row r="44" spans="1:4" ht="15">
      <c r="A44" s="43" t="s">
        <v>36</v>
      </c>
      <c r="B44" s="43">
        <v>17</v>
      </c>
      <c r="C44" s="43" t="s">
        <v>34</v>
      </c>
      <c r="D44" s="43" t="s">
        <v>11</v>
      </c>
    </row>
    <row r="45" spans="1:4" ht="15">
      <c r="A45" s="43" t="s">
        <v>37</v>
      </c>
      <c r="B45" s="43">
        <v>18.5</v>
      </c>
      <c r="C45" s="43" t="s">
        <v>34</v>
      </c>
      <c r="D45" s="43" t="s">
        <v>11</v>
      </c>
    </row>
    <row r="46" spans="1:4" ht="15">
      <c r="A46" s="43" t="s">
        <v>38</v>
      </c>
      <c r="B46" s="43">
        <v>20</v>
      </c>
      <c r="C46" s="43" t="s">
        <v>34</v>
      </c>
      <c r="D46" s="43" t="s">
        <v>11</v>
      </c>
    </row>
    <row r="47" spans="1:4" ht="15">
      <c r="A47" s="43" t="s">
        <v>39</v>
      </c>
      <c r="B47" s="43">
        <v>21.5</v>
      </c>
      <c r="C47" s="43" t="s">
        <v>34</v>
      </c>
      <c r="D47" s="43" t="s">
        <v>11</v>
      </c>
    </row>
    <row r="48" spans="1:4" ht="15">
      <c r="A48" s="43" t="s">
        <v>46</v>
      </c>
      <c r="B48" s="43">
        <v>23</v>
      </c>
      <c r="C48" s="43" t="s">
        <v>34</v>
      </c>
      <c r="D48" s="43" t="s">
        <v>11</v>
      </c>
    </row>
    <row r="49" spans="1:4" ht="15">
      <c r="A49" s="43" t="s">
        <v>47</v>
      </c>
      <c r="B49" s="43">
        <v>24.5</v>
      </c>
      <c r="C49" s="43" t="s">
        <v>34</v>
      </c>
      <c r="D49" s="43" t="s">
        <v>11</v>
      </c>
    </row>
    <row r="50" spans="1:4" ht="15">
      <c r="A50" s="43" t="s">
        <v>48</v>
      </c>
      <c r="B50" s="43">
        <v>26</v>
      </c>
      <c r="C50" s="43" t="s">
        <v>34</v>
      </c>
      <c r="D50" s="43" t="s">
        <v>11</v>
      </c>
    </row>
    <row r="51" spans="1:4" ht="15">
      <c r="A51" s="43" t="s">
        <v>49</v>
      </c>
      <c r="B51" s="43">
        <v>27.5</v>
      </c>
      <c r="C51" s="43" t="s">
        <v>34</v>
      </c>
      <c r="D51" s="43" t="s">
        <v>11</v>
      </c>
    </row>
    <row r="52" spans="1:4" ht="15">
      <c r="A52" s="43" t="s">
        <v>40</v>
      </c>
      <c r="B52" s="43">
        <v>15</v>
      </c>
      <c r="C52" s="43" t="s">
        <v>17</v>
      </c>
      <c r="D52" s="43" t="s">
        <v>11</v>
      </c>
    </row>
    <row r="53" spans="1:4" ht="15">
      <c r="A53" s="43" t="s">
        <v>41</v>
      </c>
      <c r="B53" s="43">
        <v>18</v>
      </c>
      <c r="C53" s="43" t="s">
        <v>17</v>
      </c>
      <c r="D53" s="43" t="s">
        <v>11</v>
      </c>
    </row>
    <row r="54" spans="1:4" ht="15">
      <c r="A54" s="43" t="s">
        <v>42</v>
      </c>
      <c r="B54" s="43">
        <v>22</v>
      </c>
      <c r="C54" s="43" t="s">
        <v>17</v>
      </c>
      <c r="D54" s="43" t="s">
        <v>11</v>
      </c>
    </row>
    <row r="55" spans="1:4" ht="15">
      <c r="A55" s="43" t="s">
        <v>43</v>
      </c>
      <c r="B55" s="43">
        <v>25</v>
      </c>
      <c r="C55" s="43" t="s">
        <v>17</v>
      </c>
      <c r="D55" s="43" t="s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tabSelected="1" zoomScaleNormal="100" workbookViewId="0">
      <selection activeCell="B20" sqref="B20"/>
    </sheetView>
  </sheetViews>
  <sheetFormatPr defaultColWidth="8.7109375" defaultRowHeight="14.45"/>
  <cols>
    <col min="1" max="1" width="12" customWidth="1"/>
    <col min="2" max="4" width="15" customWidth="1"/>
    <col min="6" max="6" width="35" customWidth="1"/>
  </cols>
  <sheetData>
    <row r="1" spans="1:6" ht="15" customHeight="1">
      <c r="A1" s="4" t="s">
        <v>12</v>
      </c>
      <c r="B1" s="4" t="s">
        <v>50</v>
      </c>
      <c r="C1" s="4" t="s">
        <v>51</v>
      </c>
      <c r="D1" s="4" t="s">
        <v>52</v>
      </c>
      <c r="E1" s="1"/>
      <c r="F1" s="5" t="s">
        <v>53</v>
      </c>
    </row>
    <row r="2" spans="1:6" ht="15" customHeight="1">
      <c r="A2" s="1" t="s">
        <v>33</v>
      </c>
      <c r="B2" s="1" t="s">
        <v>54</v>
      </c>
      <c r="C2" s="44">
        <v>3200</v>
      </c>
      <c r="D2" s="1" t="s">
        <v>55</v>
      </c>
      <c r="E2" s="1"/>
      <c r="F2" s="1" t="s">
        <v>56</v>
      </c>
    </row>
    <row r="3" spans="1:6" ht="15" customHeight="1">
      <c r="A3" s="1" t="s">
        <v>35</v>
      </c>
      <c r="B3" s="1" t="s">
        <v>57</v>
      </c>
      <c r="C3" s="44">
        <v>4200</v>
      </c>
      <c r="D3" s="1" t="s">
        <v>55</v>
      </c>
      <c r="E3" s="1"/>
      <c r="F3" s="1" t="s">
        <v>58</v>
      </c>
    </row>
    <row r="4" spans="1:6" ht="15" customHeight="1">
      <c r="A4" s="1" t="s">
        <v>36</v>
      </c>
      <c r="B4" s="1" t="s">
        <v>54</v>
      </c>
      <c r="C4" s="44">
        <v>5200</v>
      </c>
      <c r="D4" s="1" t="s">
        <v>55</v>
      </c>
      <c r="E4" s="1"/>
      <c r="F4" s="1" t="s">
        <v>59</v>
      </c>
    </row>
    <row r="5" spans="1:6" ht="15" customHeight="1">
      <c r="A5" s="1" t="s">
        <v>37</v>
      </c>
      <c r="B5" s="1" t="s">
        <v>54</v>
      </c>
      <c r="C5" s="44">
        <v>5200</v>
      </c>
      <c r="D5" s="1" t="s">
        <v>55</v>
      </c>
      <c r="E5" s="1"/>
      <c r="F5" s="1" t="s">
        <v>60</v>
      </c>
    </row>
    <row r="6" spans="1:6" ht="15" customHeight="1">
      <c r="A6" s="1" t="s">
        <v>38</v>
      </c>
      <c r="B6" s="1" t="s">
        <v>54</v>
      </c>
      <c r="C6" s="44">
        <v>4200</v>
      </c>
      <c r="D6" s="1" t="s">
        <v>55</v>
      </c>
      <c r="E6" s="1"/>
      <c r="F6" s="1"/>
    </row>
    <row r="7" spans="1:6" ht="15" customHeight="1">
      <c r="A7" s="1" t="s">
        <v>39</v>
      </c>
      <c r="B7" s="1" t="s">
        <v>54</v>
      </c>
      <c r="C7" s="44">
        <v>3200</v>
      </c>
      <c r="D7" s="1" t="s">
        <v>55</v>
      </c>
      <c r="E7" s="1"/>
      <c r="F7" s="1"/>
    </row>
    <row r="8" spans="1:6" ht="15" customHeight="1">
      <c r="A8" s="1" t="s">
        <v>46</v>
      </c>
      <c r="B8" s="1" t="s">
        <v>57</v>
      </c>
      <c r="C8" s="44">
        <v>1100</v>
      </c>
      <c r="D8" s="1" t="s">
        <v>55</v>
      </c>
      <c r="E8" s="1"/>
      <c r="F8" s="1"/>
    </row>
    <row r="9" spans="1:6" ht="15" customHeight="1">
      <c r="A9" s="1" t="s">
        <v>47</v>
      </c>
      <c r="B9" s="1" t="s">
        <v>54</v>
      </c>
      <c r="C9" s="44">
        <v>1400</v>
      </c>
      <c r="D9" s="1" t="s">
        <v>55</v>
      </c>
      <c r="E9" s="1"/>
      <c r="F9" s="1"/>
    </row>
    <row r="10" spans="1:6" ht="15" customHeight="1">
      <c r="A10" s="1" t="s">
        <v>48</v>
      </c>
      <c r="B10" s="1" t="s">
        <v>54</v>
      </c>
      <c r="C10" s="44">
        <v>1700</v>
      </c>
      <c r="D10" s="1" t="s">
        <v>55</v>
      </c>
      <c r="E10" s="1"/>
      <c r="F10" s="1"/>
    </row>
    <row r="11" spans="1:6" ht="15" customHeight="1">
      <c r="A11" s="1" t="s">
        <v>49</v>
      </c>
      <c r="B11" s="1" t="s">
        <v>54</v>
      </c>
      <c r="C11" s="44">
        <v>1700</v>
      </c>
      <c r="D11" s="1" t="s">
        <v>55</v>
      </c>
      <c r="E11" s="1"/>
      <c r="F11" s="1"/>
    </row>
    <row r="12" spans="1:6" ht="15" customHeight="1">
      <c r="A12" s="1" t="s">
        <v>40</v>
      </c>
      <c r="B12" s="1" t="s">
        <v>61</v>
      </c>
      <c r="C12" s="44">
        <v>1400</v>
      </c>
      <c r="D12" s="1" t="s">
        <v>55</v>
      </c>
      <c r="E12" s="1"/>
      <c r="F12" s="1"/>
    </row>
    <row r="13" spans="1:6" ht="15" customHeight="1">
      <c r="A13" s="1" t="s">
        <v>41</v>
      </c>
      <c r="B13" s="1" t="s">
        <v>61</v>
      </c>
      <c r="C13" s="44">
        <v>1100</v>
      </c>
      <c r="D13" s="1" t="s">
        <v>55</v>
      </c>
      <c r="E13" s="1"/>
      <c r="F13" s="1"/>
    </row>
    <row r="14" spans="1:6" ht="15">
      <c r="A14" s="1" t="s">
        <v>42</v>
      </c>
      <c r="B14" s="1" t="s">
        <v>61</v>
      </c>
      <c r="C14" s="6">
        <v>1500</v>
      </c>
      <c r="D14" s="1" t="s">
        <v>55</v>
      </c>
      <c r="E14" s="1"/>
      <c r="F14" s="1"/>
    </row>
    <row r="15" spans="1:6" ht="15">
      <c r="A15" s="1"/>
      <c r="B15" s="1"/>
      <c r="C15" s="6"/>
      <c r="D15" s="1"/>
      <c r="E15" s="1"/>
      <c r="F15" s="1"/>
    </row>
    <row r="20" spans="2:2">
      <c r="B20" s="1"/>
    </row>
    <row r="21" spans="2:2">
      <c r="B21" s="1"/>
    </row>
  </sheetData>
  <dataValidations count="1">
    <dataValidation type="list" errorTitle="ULD Selection Error" error="Invalid ULD Type" sqref="B2:B13" xr:uid="{00000000-0002-0000-0200-000000000000}">
      <formula1>"LD-3,LD-7,PMC,PAG"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zoomScaleNormal="100" workbookViewId="0">
      <selection activeCell="F8" sqref="F8"/>
    </sheetView>
  </sheetViews>
  <sheetFormatPr defaultColWidth="8.7109375" defaultRowHeight="14.45"/>
  <cols>
    <col min="1" max="1" width="15" customWidth="1"/>
    <col min="2" max="2" width="18" customWidth="1"/>
    <col min="3" max="3" width="12" customWidth="1"/>
    <col min="4" max="4" width="20" customWidth="1"/>
  </cols>
  <sheetData>
    <row r="1" spans="1:4" ht="15" customHeight="1">
      <c r="A1" s="7" t="s">
        <v>50</v>
      </c>
      <c r="B1" s="7" t="s">
        <v>62</v>
      </c>
      <c r="C1" s="7" t="s">
        <v>14</v>
      </c>
      <c r="D1" s="7" t="s">
        <v>63</v>
      </c>
    </row>
    <row r="2" spans="1:4" ht="15" customHeight="1">
      <c r="A2" s="1" t="s">
        <v>61</v>
      </c>
      <c r="B2" s="1">
        <v>1588</v>
      </c>
      <c r="C2" s="1" t="s">
        <v>17</v>
      </c>
      <c r="D2" s="1" t="s">
        <v>64</v>
      </c>
    </row>
    <row r="3" spans="1:4" ht="15" customHeight="1">
      <c r="A3" s="1" t="s">
        <v>65</v>
      </c>
      <c r="B3" s="1">
        <v>4600</v>
      </c>
      <c r="C3" s="1" t="s">
        <v>34</v>
      </c>
      <c r="D3" s="1" t="s">
        <v>66</v>
      </c>
    </row>
    <row r="4" spans="1:4" ht="15" customHeight="1">
      <c r="A4" s="1" t="s">
        <v>54</v>
      </c>
      <c r="B4" s="1">
        <v>6804</v>
      </c>
      <c r="C4" s="1" t="s">
        <v>34</v>
      </c>
      <c r="D4" s="1" t="s">
        <v>66</v>
      </c>
    </row>
    <row r="5" spans="1:4" ht="15" customHeight="1">
      <c r="A5" s="1" t="s">
        <v>57</v>
      </c>
      <c r="B5" s="1">
        <v>6000</v>
      </c>
      <c r="C5" s="1" t="s">
        <v>34</v>
      </c>
      <c r="D5" s="1" t="s">
        <v>66</v>
      </c>
    </row>
    <row r="6" spans="1:4">
      <c r="A6" s="1" t="s">
        <v>67</v>
      </c>
      <c r="B6" s="1">
        <v>1588</v>
      </c>
      <c r="C6" s="1" t="s">
        <v>17</v>
      </c>
      <c r="D6" s="1" t="s">
        <v>8</v>
      </c>
    </row>
    <row r="7" spans="1:4" ht="15" customHeight="1">
      <c r="A7" s="8" t="s">
        <v>68</v>
      </c>
      <c r="B7" s="1">
        <v>1134</v>
      </c>
      <c r="C7" s="1" t="s">
        <v>17</v>
      </c>
      <c r="D7" s="1" t="s">
        <v>8</v>
      </c>
    </row>
    <row r="8" spans="1:4">
      <c r="A8" s="1" t="s">
        <v>69</v>
      </c>
      <c r="B8" s="1">
        <v>6033</v>
      </c>
      <c r="C8" s="1" t="s">
        <v>34</v>
      </c>
      <c r="D8" s="1" t="s">
        <v>9</v>
      </c>
    </row>
  </sheetData>
  <sheetProtection sheet="1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zoomScaleNormal="100" workbookViewId="0">
      <selection sqref="A1:F1"/>
    </sheetView>
  </sheetViews>
  <sheetFormatPr defaultColWidth="8.7109375" defaultRowHeight="14.45"/>
  <cols>
    <col min="1" max="2" width="12" customWidth="1"/>
    <col min="3" max="6" width="15" customWidth="1"/>
  </cols>
  <sheetData>
    <row r="1" spans="1:6" ht="17.25" customHeight="1">
      <c r="A1" s="45" t="s">
        <v>70</v>
      </c>
      <c r="B1" s="45"/>
      <c r="C1" s="45"/>
      <c r="D1" s="45"/>
      <c r="E1" s="45"/>
      <c r="F1" s="45"/>
    </row>
    <row r="3" spans="1:6" ht="15" customHeight="1">
      <c r="A3" s="2" t="s">
        <v>12</v>
      </c>
      <c r="B3" s="2" t="s">
        <v>50</v>
      </c>
      <c r="C3" s="2" t="s">
        <v>71</v>
      </c>
      <c r="D3" s="2" t="s">
        <v>72</v>
      </c>
      <c r="E3" s="2" t="s">
        <v>73</v>
      </c>
      <c r="F3" s="2" t="s">
        <v>74</v>
      </c>
    </row>
    <row r="4" spans="1:6" ht="15" customHeight="1">
      <c r="A4" s="1" t="str">
        <f>'ULD LOAD INPUT'!A2</f>
        <v>M1</v>
      </c>
      <c r="B4" s="1" t="str">
        <f>'ULD LOAD INPUT'!B2</f>
        <v>PMC</v>
      </c>
      <c r="C4" s="1">
        <f>'ULD LOAD INPUT'!C2</f>
        <v>3200</v>
      </c>
      <c r="D4" s="1">
        <f>INDEX('ULD MASTER TABLE'!$B$2:$B$5,MATCH(B4,'ULD MASTER TABLE'!$A$2:$A$5,0))</f>
        <v>6804</v>
      </c>
      <c r="E4" s="9">
        <f t="shared" ref="E4:E15" si="0">IF(D4=0,0,C4/D4)</f>
        <v>0.47031158142269253</v>
      </c>
      <c r="F4" s="1" t="str">
        <f t="shared" ref="F4:F15" si="1">IF(C4&gt;D4,"OVERLOAD",IF(C4&gt;=D4*0.9,"NEAR LIMIT","SAFE"))</f>
        <v>SAFE</v>
      </c>
    </row>
    <row r="5" spans="1:6" ht="15" customHeight="1">
      <c r="A5" s="1" t="str">
        <f>'ULD LOAD INPUT'!A3</f>
        <v>M2</v>
      </c>
      <c r="B5" s="1" t="str">
        <f>'ULD LOAD INPUT'!B3</f>
        <v>PAG</v>
      </c>
      <c r="C5" s="1">
        <f>'ULD LOAD INPUT'!C3</f>
        <v>4200</v>
      </c>
      <c r="D5" s="1">
        <f>INDEX('ULD MASTER TABLE'!$B$2:$B$5,MATCH(B5,'ULD MASTER TABLE'!$A$2:$A$5,0))</f>
        <v>6000</v>
      </c>
      <c r="E5" s="9">
        <f t="shared" si="0"/>
        <v>0.7</v>
      </c>
      <c r="F5" s="1" t="str">
        <f t="shared" si="1"/>
        <v>SAFE</v>
      </c>
    </row>
    <row r="6" spans="1:6" ht="15" customHeight="1">
      <c r="A6" s="1" t="str">
        <f>'ULD LOAD INPUT'!A4</f>
        <v>M3</v>
      </c>
      <c r="B6" s="1" t="str">
        <f>'ULD LOAD INPUT'!B4</f>
        <v>PMC</v>
      </c>
      <c r="C6" s="1">
        <f>'ULD LOAD INPUT'!C4</f>
        <v>5200</v>
      </c>
      <c r="D6" s="1">
        <f>INDEX('ULD MASTER TABLE'!$B$2:$B$5,MATCH(B6,'ULD MASTER TABLE'!$A$2:$A$5,0))</f>
        <v>6804</v>
      </c>
      <c r="E6" s="9">
        <f t="shared" si="0"/>
        <v>0.76425631981187536</v>
      </c>
      <c r="F6" s="1" t="str">
        <f t="shared" si="1"/>
        <v>SAFE</v>
      </c>
    </row>
    <row r="7" spans="1:6" ht="15" customHeight="1">
      <c r="A7" s="1" t="str">
        <f>'ULD LOAD INPUT'!A5</f>
        <v>M4</v>
      </c>
      <c r="B7" s="1" t="str">
        <f>'ULD LOAD INPUT'!B5</f>
        <v>PMC</v>
      </c>
      <c r="C7" s="1">
        <f>'ULD LOAD INPUT'!C5</f>
        <v>5200</v>
      </c>
      <c r="D7" s="1">
        <f>INDEX('ULD MASTER TABLE'!$B$2:$B$5,MATCH(B7,'ULD MASTER TABLE'!$A$2:$A$5,0))</f>
        <v>6804</v>
      </c>
      <c r="E7" s="9">
        <f t="shared" si="0"/>
        <v>0.76425631981187536</v>
      </c>
      <c r="F7" s="1" t="str">
        <f t="shared" si="1"/>
        <v>SAFE</v>
      </c>
    </row>
    <row r="8" spans="1:6" ht="15" customHeight="1">
      <c r="A8" s="1" t="str">
        <f>'ULD LOAD INPUT'!A6</f>
        <v>M5</v>
      </c>
      <c r="B8" s="1" t="str">
        <f>'ULD LOAD INPUT'!B6</f>
        <v>PMC</v>
      </c>
      <c r="C8" s="1">
        <f>'ULD LOAD INPUT'!C6</f>
        <v>4200</v>
      </c>
      <c r="D8" s="1">
        <f>INDEX('ULD MASTER TABLE'!$B$2:$B$5,MATCH(B8,'ULD MASTER TABLE'!$A$2:$A$5,0))</f>
        <v>6804</v>
      </c>
      <c r="E8" s="9">
        <f t="shared" si="0"/>
        <v>0.61728395061728392</v>
      </c>
      <c r="F8" s="1" t="str">
        <f t="shared" si="1"/>
        <v>SAFE</v>
      </c>
    </row>
    <row r="9" spans="1:6" ht="15" customHeight="1">
      <c r="A9" s="1" t="str">
        <f>'ULD LOAD INPUT'!A7</f>
        <v>M6</v>
      </c>
      <c r="B9" s="1" t="str">
        <f>'ULD LOAD INPUT'!B7</f>
        <v>PMC</v>
      </c>
      <c r="C9" s="1">
        <f>'ULD LOAD INPUT'!C7</f>
        <v>3200</v>
      </c>
      <c r="D9" s="1">
        <f>INDEX('ULD MASTER TABLE'!$B$2:$B$5,MATCH(B9,'ULD MASTER TABLE'!$A$2:$A$5,0))</f>
        <v>6804</v>
      </c>
      <c r="E9" s="9">
        <f t="shared" si="0"/>
        <v>0.47031158142269253</v>
      </c>
      <c r="F9" s="1" t="str">
        <f t="shared" si="1"/>
        <v>SAFE</v>
      </c>
    </row>
    <row r="10" spans="1:6" ht="15" customHeight="1">
      <c r="A10" s="1" t="str">
        <f>'ULD LOAD INPUT'!A8</f>
        <v>M7</v>
      </c>
      <c r="B10" s="1" t="str">
        <f>'ULD LOAD INPUT'!B8</f>
        <v>PAG</v>
      </c>
      <c r="C10" s="1">
        <f>'ULD LOAD INPUT'!C8</f>
        <v>1100</v>
      </c>
      <c r="D10" s="1">
        <f>INDEX('ULD MASTER TABLE'!$B$2:$B$5,MATCH(B10,'ULD MASTER TABLE'!$A$2:$A$5,0))</f>
        <v>6000</v>
      </c>
      <c r="E10" s="9">
        <f t="shared" si="0"/>
        <v>0.18333333333333332</v>
      </c>
      <c r="F10" s="1" t="str">
        <f t="shared" si="1"/>
        <v>SAFE</v>
      </c>
    </row>
    <row r="11" spans="1:6" ht="15" customHeight="1">
      <c r="A11" s="1" t="str">
        <f>'ULD LOAD INPUT'!A9</f>
        <v>M8</v>
      </c>
      <c r="B11" s="1" t="str">
        <f>'ULD LOAD INPUT'!B9</f>
        <v>PMC</v>
      </c>
      <c r="C11" s="1">
        <f>'ULD LOAD INPUT'!C9</f>
        <v>1400</v>
      </c>
      <c r="D11" s="1">
        <f>INDEX('ULD MASTER TABLE'!$B$2:$B$5,MATCH(B11,'ULD MASTER TABLE'!$A$2:$A$5,0))</f>
        <v>6804</v>
      </c>
      <c r="E11" s="9">
        <f t="shared" si="0"/>
        <v>0.20576131687242799</v>
      </c>
      <c r="F11" s="1" t="str">
        <f t="shared" si="1"/>
        <v>SAFE</v>
      </c>
    </row>
    <row r="12" spans="1:6" ht="15" customHeight="1">
      <c r="A12" s="1" t="str">
        <f>'ULD LOAD INPUT'!A10</f>
        <v>M9</v>
      </c>
      <c r="B12" s="1" t="str">
        <f>'ULD LOAD INPUT'!B10</f>
        <v>PMC</v>
      </c>
      <c r="C12" s="1">
        <f>'ULD LOAD INPUT'!C10</f>
        <v>1700</v>
      </c>
      <c r="D12" s="1">
        <f>INDEX('ULD MASTER TABLE'!$B$2:$B$5,MATCH(B12,'ULD MASTER TABLE'!$A$2:$A$5,0))</f>
        <v>6804</v>
      </c>
      <c r="E12" s="9">
        <f t="shared" si="0"/>
        <v>0.24985302763080541</v>
      </c>
      <c r="F12" s="1" t="str">
        <f t="shared" si="1"/>
        <v>SAFE</v>
      </c>
    </row>
    <row r="13" spans="1:6" ht="15" customHeight="1">
      <c r="A13" s="1" t="str">
        <f>'ULD LOAD INPUT'!A11</f>
        <v>M10</v>
      </c>
      <c r="B13" s="1" t="str">
        <f>'ULD LOAD INPUT'!B11</f>
        <v>PMC</v>
      </c>
      <c r="C13" s="1">
        <f>'ULD LOAD INPUT'!C11</f>
        <v>1700</v>
      </c>
      <c r="D13" s="1">
        <f>INDEX('ULD MASTER TABLE'!$B$2:$B$5,MATCH(B13,'ULD MASTER TABLE'!$A$2:$A$5,0))</f>
        <v>6804</v>
      </c>
      <c r="E13" s="9">
        <f t="shared" si="0"/>
        <v>0.24985302763080541</v>
      </c>
      <c r="F13" s="1" t="str">
        <f t="shared" si="1"/>
        <v>SAFE</v>
      </c>
    </row>
    <row r="14" spans="1:6" ht="15" customHeight="1">
      <c r="A14" s="1" t="str">
        <f>'ULD LOAD INPUT'!A12</f>
        <v>L1</v>
      </c>
      <c r="B14" s="1" t="str">
        <f>'ULD LOAD INPUT'!B12</f>
        <v>LD-3</v>
      </c>
      <c r="C14" s="1">
        <f>'ULD LOAD INPUT'!C12</f>
        <v>1400</v>
      </c>
      <c r="D14" s="1">
        <f>INDEX('ULD MASTER TABLE'!$B$2:$B$5,MATCH(B14,'ULD MASTER TABLE'!$A$2:$A$5,0))</f>
        <v>1588</v>
      </c>
      <c r="E14" s="9">
        <f t="shared" si="0"/>
        <v>0.88161209068010071</v>
      </c>
      <c r="F14" s="1" t="str">
        <f t="shared" si="1"/>
        <v>SAFE</v>
      </c>
    </row>
    <row r="15" spans="1:6" ht="15" customHeight="1">
      <c r="A15" s="1" t="str">
        <f>'ULD LOAD INPUT'!A13</f>
        <v>L2</v>
      </c>
      <c r="B15" s="1" t="str">
        <f>'ULD LOAD INPUT'!B13</f>
        <v>LD-3</v>
      </c>
      <c r="C15" s="1">
        <f>'ULD LOAD INPUT'!C13</f>
        <v>1100</v>
      </c>
      <c r="D15" s="1">
        <f>INDEX('ULD MASTER TABLE'!$B$2:$B$5,MATCH(B15,'ULD MASTER TABLE'!$A$2:$A$5,0))</f>
        <v>1588</v>
      </c>
      <c r="E15" s="9">
        <f t="shared" si="0"/>
        <v>0.69269521410579349</v>
      </c>
      <c r="F15" s="1" t="str">
        <f t="shared" si="1"/>
        <v>SAFE</v>
      </c>
    </row>
  </sheetData>
  <sheetProtection sheet="1"/>
  <mergeCells count="1">
    <mergeCell ref="A1:F1"/>
  </mergeCells>
  <conditionalFormatting sqref="F4:F15">
    <cfRule type="cellIs" dxfId="45" priority="2" operator="equal">
      <formula>"OVERLOAD"</formula>
    </cfRule>
    <cfRule type="cellIs" dxfId="44" priority="3" operator="equal">
      <formula>"NEAR LIMIT"</formula>
    </cfRule>
    <cfRule type="cellIs" dxfId="43" priority="4" operator="equal">
      <formula>"SAFE"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zoomScaleNormal="100" workbookViewId="0">
      <selection sqref="A1:E1"/>
    </sheetView>
  </sheetViews>
  <sheetFormatPr defaultColWidth="8.7109375" defaultRowHeight="14.45"/>
  <cols>
    <col min="1" max="3" width="12" customWidth="1"/>
    <col min="4" max="4" width="15" customWidth="1"/>
    <col min="5" max="5" width="18" customWidth="1"/>
  </cols>
  <sheetData>
    <row r="1" spans="1:5" ht="17.25" customHeight="1">
      <c r="A1" s="46" t="s">
        <v>75</v>
      </c>
      <c r="B1" s="46"/>
      <c r="C1" s="46"/>
      <c r="D1" s="46"/>
      <c r="E1" s="46"/>
    </row>
    <row r="3" spans="1:5" ht="15" customHeight="1">
      <c r="A3" s="10" t="s">
        <v>12</v>
      </c>
      <c r="B3" s="10" t="s">
        <v>50</v>
      </c>
      <c r="C3" s="10" t="s">
        <v>13</v>
      </c>
      <c r="D3" s="10" t="s">
        <v>51</v>
      </c>
      <c r="E3" s="10" t="s">
        <v>76</v>
      </c>
    </row>
    <row r="4" spans="1:5" ht="15" customHeight="1">
      <c r="A4" s="1" t="str">
        <f>'ULD LOAD INPUT'!A2</f>
        <v>M1</v>
      </c>
      <c r="B4" s="1" t="str">
        <f>'ULD LOAD INPUT'!B2</f>
        <v>PMC</v>
      </c>
      <c r="C4" s="1">
        <f>IFERROR(
        SUMPRODUCT(
            ('POSITION CONFIGURATIONS'!$A$2:$A$50=A4)*
            ('POSITION CONFIGURATIONS'!$D$2:$D$50='AIRCRAFT LOAD &amp; TRIM SHEET'!$I$3)*
            'POSITION CONFIGURATIONS'!$B$2:$B$50
        ),
        0
    )</f>
        <v>14</v>
      </c>
      <c r="D4" s="1">
        <f>'ULD LOAD INPUT'!C2</f>
        <v>3200</v>
      </c>
      <c r="E4" s="1">
        <f t="shared" ref="E4:E15" si="0">D4*C4</f>
        <v>44800</v>
      </c>
    </row>
    <row r="5" spans="1:5" ht="15" customHeight="1">
      <c r="A5" s="1" t="str">
        <f>'ULD LOAD INPUT'!A3</f>
        <v>M2</v>
      </c>
      <c r="B5" s="1" t="str">
        <f>'ULD LOAD INPUT'!B3</f>
        <v>PAG</v>
      </c>
      <c r="C5" s="1">
        <f>IFERROR(
        SUMPRODUCT(
            ('POSITION CONFIGURATIONS'!$A$2:$A$50=A5)*
            ('POSITION CONFIGURATIONS'!$D$2:$D$50='AIRCRAFT LOAD &amp; TRIM SHEET'!$I$3)*
            'POSITION CONFIGURATIONS'!$B$2:$B$50
        ),
        0
    )</f>
        <v>15.5</v>
      </c>
      <c r="D5" s="1">
        <f>'ULD LOAD INPUT'!C3</f>
        <v>4200</v>
      </c>
      <c r="E5" s="1">
        <f t="shared" si="0"/>
        <v>65100</v>
      </c>
    </row>
    <row r="6" spans="1:5" ht="15" customHeight="1">
      <c r="A6" s="1" t="str">
        <f>'ULD LOAD INPUT'!A4</f>
        <v>M3</v>
      </c>
      <c r="B6" s="1" t="str">
        <f>'ULD LOAD INPUT'!B4</f>
        <v>PMC</v>
      </c>
      <c r="C6" s="1">
        <f>IFERROR(
        SUMPRODUCT(
            ('POSITION CONFIGURATIONS'!$A$2:$A$50=A6)*
            ('POSITION CONFIGURATIONS'!$D$2:$D$50='AIRCRAFT LOAD &amp; TRIM SHEET'!$I$3)*
            'POSITION CONFIGURATIONS'!$B$2:$B$50
        ),
        0
    )</f>
        <v>17</v>
      </c>
      <c r="D6" s="1">
        <f>'ULD LOAD INPUT'!C4</f>
        <v>5200</v>
      </c>
      <c r="E6" s="1">
        <f t="shared" si="0"/>
        <v>88400</v>
      </c>
    </row>
    <row r="7" spans="1:5" ht="15" customHeight="1">
      <c r="A7" s="1" t="str">
        <f>'ULD LOAD INPUT'!A5</f>
        <v>M4</v>
      </c>
      <c r="B7" s="1" t="str">
        <f>'ULD LOAD INPUT'!B5</f>
        <v>PMC</v>
      </c>
      <c r="C7" s="1">
        <f>IFERROR(
        SUMPRODUCT(
            ('POSITION CONFIGURATIONS'!$A$2:$A$50=A7)*
            ('POSITION CONFIGURATIONS'!$D$2:$D$50='AIRCRAFT LOAD &amp; TRIM SHEET'!$I$3)*
            'POSITION CONFIGURATIONS'!$B$2:$B$50
        ),
        0
    )</f>
        <v>18.5</v>
      </c>
      <c r="D7" s="1">
        <f>'ULD LOAD INPUT'!C5</f>
        <v>5200</v>
      </c>
      <c r="E7" s="1">
        <f t="shared" si="0"/>
        <v>96200</v>
      </c>
    </row>
    <row r="8" spans="1:5" ht="15" customHeight="1">
      <c r="A8" s="1" t="str">
        <f>'ULD LOAD INPUT'!A6</f>
        <v>M5</v>
      </c>
      <c r="B8" s="1" t="str">
        <f>'ULD LOAD INPUT'!B6</f>
        <v>PMC</v>
      </c>
      <c r="C8" s="1">
        <f>IFERROR(
        SUMPRODUCT(
            ('POSITION CONFIGURATIONS'!$A$2:$A$50=A8)*
            ('POSITION CONFIGURATIONS'!$D$2:$D$50='AIRCRAFT LOAD &amp; TRIM SHEET'!$I$3)*
            'POSITION CONFIGURATIONS'!$B$2:$B$50
        ),
        0
    )</f>
        <v>20</v>
      </c>
      <c r="D8" s="1">
        <f>'ULD LOAD INPUT'!C6</f>
        <v>4200</v>
      </c>
      <c r="E8" s="1">
        <f t="shared" si="0"/>
        <v>84000</v>
      </c>
    </row>
    <row r="9" spans="1:5" ht="15" customHeight="1">
      <c r="A9" s="1" t="str">
        <f>'ULD LOAD INPUT'!A7</f>
        <v>M6</v>
      </c>
      <c r="B9" s="1" t="str">
        <f>'ULD LOAD INPUT'!B7</f>
        <v>PMC</v>
      </c>
      <c r="C9" s="1">
        <f>IFERROR(
        SUMPRODUCT(
            ('POSITION CONFIGURATIONS'!$A$2:$A$50=A9)*
            ('POSITION CONFIGURATIONS'!$D$2:$D$50='AIRCRAFT LOAD &amp; TRIM SHEET'!$I$3)*
            'POSITION CONFIGURATIONS'!$B$2:$B$50
        ),
        0
    )</f>
        <v>21.5</v>
      </c>
      <c r="D9" s="1">
        <f>'ULD LOAD INPUT'!C7</f>
        <v>3200</v>
      </c>
      <c r="E9" s="1">
        <f t="shared" si="0"/>
        <v>68800</v>
      </c>
    </row>
    <row r="10" spans="1:5" ht="15" customHeight="1">
      <c r="A10" s="1" t="str">
        <f>'ULD LOAD INPUT'!A8</f>
        <v>M7</v>
      </c>
      <c r="B10" s="1" t="str">
        <f>'ULD LOAD INPUT'!B8</f>
        <v>PAG</v>
      </c>
      <c r="C10" s="1">
        <f>IFERROR(
        SUMPRODUCT(
            ('POSITION CONFIGURATIONS'!$A$2:$A$50=A10)*
            ('POSITION CONFIGURATIONS'!$D$2:$D$50='AIRCRAFT LOAD &amp; TRIM SHEET'!$I$3)*
            'POSITION CONFIGURATIONS'!$B$2:$B$50
        ),
        0
    )</f>
        <v>23</v>
      </c>
      <c r="D10" s="1">
        <f>'ULD LOAD INPUT'!C8</f>
        <v>1100</v>
      </c>
      <c r="E10" s="1">
        <f t="shared" si="0"/>
        <v>25300</v>
      </c>
    </row>
    <row r="11" spans="1:5" ht="15" customHeight="1">
      <c r="A11" s="1" t="str">
        <f>'ULD LOAD INPUT'!A9</f>
        <v>M8</v>
      </c>
      <c r="B11" s="1" t="str">
        <f>'ULD LOAD INPUT'!B9</f>
        <v>PMC</v>
      </c>
      <c r="C11" s="1">
        <f>IFERROR(
        SUMPRODUCT(
            ('POSITION CONFIGURATIONS'!$A$2:$A$50=A11)*
            ('POSITION CONFIGURATIONS'!$D$2:$D$50='AIRCRAFT LOAD &amp; TRIM SHEET'!$I$3)*
            'POSITION CONFIGURATIONS'!$B$2:$B$50
        ),
        0
    )</f>
        <v>24.5</v>
      </c>
      <c r="D11" s="1">
        <f>'ULD LOAD INPUT'!C9</f>
        <v>1400</v>
      </c>
      <c r="E11" s="1">
        <f t="shared" si="0"/>
        <v>34300</v>
      </c>
    </row>
    <row r="12" spans="1:5" ht="15" customHeight="1">
      <c r="A12" s="1" t="str">
        <f>'ULD LOAD INPUT'!A10</f>
        <v>M9</v>
      </c>
      <c r="B12" s="1" t="str">
        <f>'ULD LOAD INPUT'!B10</f>
        <v>PMC</v>
      </c>
      <c r="C12" s="1">
        <f>IFERROR(
        SUMPRODUCT(
            ('POSITION CONFIGURATIONS'!$A$2:$A$50=A12)*
            ('POSITION CONFIGURATIONS'!$D$2:$D$50='AIRCRAFT LOAD &amp; TRIM SHEET'!$I$3)*
            'POSITION CONFIGURATIONS'!$B$2:$B$50
        ),
        0
    )</f>
        <v>26</v>
      </c>
      <c r="D12" s="1">
        <f>'ULD LOAD INPUT'!C10</f>
        <v>1700</v>
      </c>
      <c r="E12" s="1">
        <f t="shared" si="0"/>
        <v>44200</v>
      </c>
    </row>
    <row r="13" spans="1:5" ht="15" customHeight="1">
      <c r="A13" s="1" t="str">
        <f>'ULD LOAD INPUT'!A11</f>
        <v>M10</v>
      </c>
      <c r="B13" s="1" t="str">
        <f>'ULD LOAD INPUT'!B11</f>
        <v>PMC</v>
      </c>
      <c r="C13" s="1">
        <f>IFERROR(
        SUMPRODUCT(
            ('POSITION CONFIGURATIONS'!$A$2:$A$50=A13)*
            ('POSITION CONFIGURATIONS'!$D$2:$D$50='AIRCRAFT LOAD &amp; TRIM SHEET'!$I$3)*
            'POSITION CONFIGURATIONS'!$B$2:$B$50
        ),
        0
    )</f>
        <v>0</v>
      </c>
      <c r="D13" s="1">
        <f>'ULD LOAD INPUT'!C11</f>
        <v>1700</v>
      </c>
      <c r="E13" s="1">
        <f t="shared" si="0"/>
        <v>0</v>
      </c>
    </row>
    <row r="14" spans="1:5" ht="15" customHeight="1">
      <c r="A14" s="1" t="str">
        <f>'ULD LOAD INPUT'!A12</f>
        <v>L1</v>
      </c>
      <c r="B14" s="1" t="str">
        <f>'ULD LOAD INPUT'!B12</f>
        <v>LD-3</v>
      </c>
      <c r="C14" s="1">
        <f>IFERROR(
        SUMPRODUCT(
            ('POSITION CONFIGURATIONS'!$A$2:$A$50=A14)*
            ('POSITION CONFIGURATIONS'!$D$2:$D$50='AIRCRAFT LOAD &amp; TRIM SHEET'!$I$3)*
            'POSITION CONFIGURATIONS'!$B$2:$B$50
        ),
        0
    )</f>
        <v>0</v>
      </c>
      <c r="D14" s="1">
        <f>'ULD LOAD INPUT'!C12</f>
        <v>1400</v>
      </c>
      <c r="E14" s="1">
        <f t="shared" si="0"/>
        <v>0</v>
      </c>
    </row>
    <row r="15" spans="1:5" ht="15" customHeight="1">
      <c r="A15" s="1" t="str">
        <f>'ULD LOAD INPUT'!A13</f>
        <v>L2</v>
      </c>
      <c r="B15" s="1" t="str">
        <f>'ULD LOAD INPUT'!B13</f>
        <v>LD-3</v>
      </c>
      <c r="C15" s="1">
        <f>IFERROR(
        SUMPRODUCT(
            ('POSITION CONFIGURATIONS'!$A$2:$A$50=A15)*
            ('POSITION CONFIGURATIONS'!$D$2:$D$50='AIRCRAFT LOAD &amp; TRIM SHEET'!$I$3)*
            'POSITION CONFIGURATIONS'!$B$2:$B$50
        ),
        0
    )</f>
        <v>0</v>
      </c>
      <c r="D15" s="1">
        <f>'ULD LOAD INPUT'!C13</f>
        <v>1100</v>
      </c>
      <c r="E15" s="1">
        <f t="shared" si="0"/>
        <v>0</v>
      </c>
    </row>
    <row r="17" spans="3:5" ht="15" customHeight="1">
      <c r="C17" s="11" t="s">
        <v>77</v>
      </c>
      <c r="D17" s="12">
        <f>SUM(D4:D16)</f>
        <v>33600</v>
      </c>
      <c r="E17" s="12">
        <f>SUM(E4:E16)</f>
        <v>551100</v>
      </c>
    </row>
  </sheetData>
  <sheetProtection sheet="1"/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zoomScaleNormal="100" workbookViewId="0">
      <selection sqref="A1:D1"/>
    </sheetView>
  </sheetViews>
  <sheetFormatPr defaultColWidth="8.7109375" defaultRowHeight="14.45"/>
  <cols>
    <col min="1" max="1" width="28" customWidth="1"/>
    <col min="2" max="2" width="35" customWidth="1"/>
  </cols>
  <sheetData>
    <row r="1" spans="1:4" ht="17.25" customHeight="1">
      <c r="A1" s="45" t="s">
        <v>78</v>
      </c>
      <c r="B1" s="45"/>
      <c r="C1" s="45"/>
      <c r="D1" s="45"/>
    </row>
    <row r="3" spans="1:4" ht="15" customHeight="1">
      <c r="A3" s="13" t="s">
        <v>79</v>
      </c>
      <c r="B3" s="1"/>
      <c r="C3" s="1"/>
      <c r="D3" s="1"/>
    </row>
    <row r="4" spans="1:4" ht="15" customHeight="1">
      <c r="A4" s="1" t="s">
        <v>80</v>
      </c>
      <c r="B4" s="6" t="str">
        <f>'AIRCRAFT LOAD &amp; TRIM SHEET'!I3</f>
        <v>B747F</v>
      </c>
      <c r="C4" s="1"/>
      <c r="D4" s="1"/>
    </row>
    <row r="6" spans="1:4" ht="15" customHeight="1">
      <c r="A6" s="13" t="s">
        <v>81</v>
      </c>
      <c r="B6" s="1"/>
      <c r="C6" s="1"/>
      <c r="D6" s="1"/>
    </row>
    <row r="7" spans="1:4" ht="15" customHeight="1">
      <c r="A7" s="1" t="s">
        <v>82</v>
      </c>
      <c r="B7" s="6">
        <f>INDEX('AIRCRAFT MODELS'!E:E,MATCH('AIRCRAFT LOAD &amp; TRIM SHEET'!I3,'AIRCRAFT MODELS'!A:A,0))</f>
        <v>16</v>
      </c>
      <c r="C7" s="1"/>
      <c r="D7" s="1"/>
    </row>
    <row r="8" spans="1:4" ht="15" customHeight="1">
      <c r="A8" s="1" t="s">
        <v>83</v>
      </c>
      <c r="B8" s="6">
        <f>INDEX('AIRCRAFT MODELS'!F:F,MATCH('AIRCRAFT LOAD &amp; TRIM SHEET'!I3,'AIRCRAFT MODELS'!A:A,0))</f>
        <v>32</v>
      </c>
      <c r="C8" s="1"/>
      <c r="D8" s="1"/>
    </row>
    <row r="11" spans="1:4" ht="15" customHeight="1">
      <c r="A11" s="13" t="s">
        <v>84</v>
      </c>
      <c r="B11" s="1"/>
      <c r="C11" s="1"/>
      <c r="D11" s="1"/>
    </row>
    <row r="12" spans="1:4" ht="15" customHeight="1">
      <c r="A12" s="1" t="s">
        <v>85</v>
      </c>
      <c r="B12" s="14">
        <f>'ARM &amp; MOMENT COMPUTATION'!D17</f>
        <v>33600</v>
      </c>
      <c r="C12" s="1"/>
      <c r="D12" s="1"/>
    </row>
    <row r="13" spans="1:4" ht="15" customHeight="1">
      <c r="A13" s="1" t="s">
        <v>86</v>
      </c>
      <c r="B13" s="15">
        <f>'ARM &amp; MOMENT COMPUTATION'!E17</f>
        <v>551100</v>
      </c>
      <c r="C13" s="1"/>
      <c r="D13" s="1"/>
    </row>
    <row r="15" spans="1:4" ht="17.25" customHeight="1">
      <c r="A15" s="13" t="s">
        <v>87</v>
      </c>
      <c r="B15" s="16">
        <f>IF(B12=0,0,B13/B12)</f>
        <v>16.401785714285715</v>
      </c>
      <c r="C15" s="1"/>
      <c r="D15" s="1"/>
    </row>
    <row r="18" spans="1:2" ht="15" customHeight="1">
      <c r="A18" s="13" t="s">
        <v>88</v>
      </c>
      <c r="B18" s="1"/>
    </row>
    <row r="19" spans="1:2" ht="15" customHeight="1">
      <c r="A19" s="1" t="s">
        <v>89</v>
      </c>
      <c r="B19" s="12" t="str">
        <f>IF(B15&lt;B7,"⚠ FORWARD CG LIMIT EXCEEDED",IF(B15&gt;B8,"⚠ AFT CG LIMIT EXCEEDED","✓ CG WITHIN SAFE ENVELOPE"))</f>
        <v>✓ CG WITHIN SAFE ENVELOPE</v>
      </c>
    </row>
    <row r="21" spans="1:2" ht="15" customHeight="1">
      <c r="A21" s="1" t="s">
        <v>90</v>
      </c>
      <c r="B21" s="13" t="str">
        <f>IF(COUNTIF('CARGO HOLD VISUAL LAYOUT'!F:F,"OVERLOAD")&gt;0,"✖ NOT SAFE - OVERLOAD DETECTED",IF(OR(B15&lt;B7,B15&gt;B8),"✖ NOT SAFE - CG OUT OF LIMITS","✓ SAFE FOR FLIGHT"))</f>
        <v>✓ SAFE FOR FLIGHT</v>
      </c>
    </row>
  </sheetData>
  <sheetProtection sheet="1"/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5"/>
  <sheetViews>
    <sheetView zoomScaleNormal="100" workbookViewId="0">
      <selection activeCell="O6" sqref="O6"/>
    </sheetView>
  </sheetViews>
  <sheetFormatPr defaultColWidth="8.7109375" defaultRowHeight="14.45"/>
  <cols>
    <col min="1" max="1" width="3" customWidth="1"/>
    <col min="2" max="2" width="10" customWidth="1"/>
    <col min="3" max="4" width="12" customWidth="1"/>
    <col min="5" max="8" width="5" customWidth="1"/>
    <col min="9" max="9" width="3" customWidth="1"/>
    <col min="10" max="10" width="10" customWidth="1"/>
    <col min="11" max="12" width="12" customWidth="1"/>
    <col min="13" max="16" width="5" customWidth="1"/>
  </cols>
  <sheetData>
    <row r="1" spans="1:16" ht="30" customHeight="1">
      <c r="A1" s="47" t="s">
        <v>91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 spans="1:16" ht="19.5" customHeight="1">
      <c r="A2" s="48" t="s">
        <v>92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16">
      <c r="A3" s="49" t="s">
        <v>93</v>
      </c>
      <c r="B3" s="49"/>
      <c r="C3" s="49"/>
      <c r="D3" s="49"/>
      <c r="E3" s="50" t="s">
        <v>94</v>
      </c>
      <c r="F3" s="50"/>
      <c r="G3" s="50"/>
      <c r="H3" s="50"/>
      <c r="I3" s="51" t="s">
        <v>11</v>
      </c>
      <c r="J3" s="51"/>
      <c r="K3" s="51"/>
      <c r="L3" s="51"/>
      <c r="M3" s="1"/>
      <c r="N3" s="1"/>
      <c r="O3" s="1"/>
      <c r="P3" s="1"/>
    </row>
    <row r="4" spans="1:16" ht="15" customHeight="1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</row>
    <row r="5" spans="1:16" ht="15" customHeight="1">
      <c r="A5" s="3" t="s">
        <v>95</v>
      </c>
      <c r="B5" s="52"/>
      <c r="C5" s="52"/>
      <c r="D5" s="52"/>
      <c r="E5" s="1"/>
      <c r="F5" s="1"/>
      <c r="G5" s="1"/>
      <c r="H5" s="1"/>
      <c r="I5" s="3" t="s">
        <v>96</v>
      </c>
      <c r="J5" s="52"/>
      <c r="K5" s="52"/>
      <c r="L5" s="52"/>
      <c r="M5" s="1"/>
      <c r="N5" s="1"/>
      <c r="O5" s="1"/>
      <c r="P5" s="1"/>
    </row>
    <row r="6" spans="1:16" ht="15" customHeight="1">
      <c r="A6" s="42" t="s">
        <v>80</v>
      </c>
      <c r="B6" s="53" t="str">
        <f>'AIRCRAFT LOAD &amp; TRIM SHEET'!I3</f>
        <v>B747F</v>
      </c>
      <c r="C6" s="53"/>
      <c r="D6" s="53"/>
      <c r="E6" s="1"/>
      <c r="F6" s="1"/>
      <c r="G6" s="1"/>
      <c r="H6" s="1"/>
      <c r="I6" s="42" t="s">
        <v>97</v>
      </c>
      <c r="J6" s="54" t="s">
        <v>98</v>
      </c>
      <c r="K6" s="54"/>
      <c r="L6" s="54"/>
      <c r="M6" s="1"/>
      <c r="N6" s="1"/>
      <c r="O6" s="1"/>
      <c r="P6" s="1"/>
    </row>
    <row r="7" spans="1:16" ht="15" customHeight="1">
      <c r="A7" s="42" t="s">
        <v>99</v>
      </c>
      <c r="B7" s="53" t="s">
        <v>100</v>
      </c>
      <c r="C7" s="53"/>
      <c r="D7" s="53"/>
      <c r="E7" s="1"/>
      <c r="F7" s="1"/>
      <c r="G7" s="1"/>
      <c r="H7" s="1"/>
      <c r="I7" s="42" t="s">
        <v>101</v>
      </c>
      <c r="J7" s="54" t="s">
        <v>102</v>
      </c>
      <c r="K7" s="54"/>
      <c r="L7" s="54"/>
      <c r="M7" s="1"/>
      <c r="N7" s="1"/>
      <c r="O7" s="1"/>
      <c r="P7" s="1"/>
    </row>
    <row r="8" spans="1:16" ht="15" customHeight="1">
      <c r="A8" s="42" t="s">
        <v>103</v>
      </c>
      <c r="B8" s="53" t="s">
        <v>104</v>
      </c>
      <c r="C8" s="53"/>
      <c r="D8" s="53"/>
      <c r="E8" s="1"/>
      <c r="F8" s="1"/>
      <c r="G8" s="1"/>
      <c r="H8" s="1"/>
      <c r="I8" s="42" t="s">
        <v>105</v>
      </c>
      <c r="J8" s="54" t="s">
        <v>106</v>
      </c>
      <c r="K8" s="54"/>
      <c r="L8" s="54"/>
      <c r="M8" s="1"/>
      <c r="N8" s="1"/>
      <c r="O8" s="1"/>
      <c r="P8" s="1"/>
    </row>
    <row r="9" spans="1:16">
      <c r="A9" s="42" t="s">
        <v>107</v>
      </c>
      <c r="B9" s="40" t="str">
        <f ca="1">TEXT(TODAY(),"DD-MMM-YYYY")</f>
        <v>10-Feb-2026</v>
      </c>
      <c r="C9" s="1"/>
      <c r="D9" s="1"/>
      <c r="E9" s="1"/>
      <c r="F9" s="1"/>
      <c r="G9" s="1"/>
      <c r="H9" s="1"/>
      <c r="I9" s="42" t="s">
        <v>108</v>
      </c>
      <c r="J9" s="41" t="str">
        <f ca="1">TEXT(NOW(),"HH:MM")</f>
        <v>03:23</v>
      </c>
      <c r="K9" s="1"/>
      <c r="L9" s="1"/>
      <c r="M9" s="1"/>
      <c r="N9" s="1"/>
      <c r="O9" s="1"/>
      <c r="P9" s="1"/>
    </row>
    <row r="10" spans="1:16" ht="24.75" customHeight="1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</row>
    <row r="11" spans="1:16" ht="15" customHeight="1">
      <c r="A11" s="55" t="s">
        <v>109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</row>
    <row r="12" spans="1:16" ht="15" customHeight="1">
      <c r="A12" s="17" t="s">
        <v>110</v>
      </c>
      <c r="B12" s="1"/>
      <c r="C12" s="1"/>
      <c r="D12" s="1"/>
      <c r="E12" s="1"/>
      <c r="F12" s="1"/>
      <c r="G12" s="52"/>
      <c r="H12" s="52"/>
      <c r="I12" s="52"/>
      <c r="J12" s="52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/>
      <c r="F13" s="1"/>
      <c r="G13" s="18" t="s">
        <v>111</v>
      </c>
      <c r="H13" s="1"/>
      <c r="I13" s="1"/>
      <c r="J13" s="1"/>
      <c r="K13" s="1"/>
      <c r="L13" s="1"/>
      <c r="M13" s="1"/>
      <c r="N13" s="1"/>
      <c r="O13" s="1"/>
      <c r="P13" s="1"/>
    </row>
    <row r="14" spans="1:16" ht="18" customHeight="1">
      <c r="A14" s="1"/>
      <c r="B14" s="1"/>
      <c r="C14" s="52"/>
      <c r="D14" s="52"/>
      <c r="E14" s="52"/>
      <c r="F14" s="1"/>
      <c r="G14" s="1"/>
      <c r="H14" s="1"/>
      <c r="I14" s="1"/>
      <c r="J14" s="1"/>
      <c r="K14" s="52"/>
      <c r="L14" s="52"/>
      <c r="M14" s="52"/>
      <c r="N14" s="1"/>
      <c r="O14" s="1"/>
      <c r="P14" s="1"/>
    </row>
    <row r="15" spans="1:16" ht="21.75" customHeight="1">
      <c r="A15" s="1"/>
      <c r="B15" s="1"/>
      <c r="C15" s="56" t="s">
        <v>112</v>
      </c>
      <c r="D15" s="56"/>
      <c r="E15" s="56"/>
      <c r="F15" s="1"/>
      <c r="G15" s="1"/>
      <c r="H15" s="1"/>
      <c r="I15" s="1"/>
      <c r="J15" s="1"/>
      <c r="K15" s="56" t="s">
        <v>113</v>
      </c>
      <c r="L15" s="56"/>
      <c r="M15" s="56"/>
      <c r="N15" s="1"/>
      <c r="O15" s="1"/>
      <c r="P15" s="1"/>
    </row>
    <row r="16" spans="1:16" ht="15" hidden="1" customHeight="1">
      <c r="A16" s="1"/>
      <c r="B16" s="1"/>
      <c r="C16" s="19" t="str">
        <f>'ULD LOAD INPUT'!B2&amp;" "&amp;TEXT('ULD LOAD INPUT'!C2,"#,##0")&amp;" kg"</f>
        <v>PMC 3,200 kg</v>
      </c>
      <c r="D16" s="20"/>
      <c r="E16" s="20"/>
      <c r="F16" s="1"/>
      <c r="G16" s="1"/>
      <c r="H16" s="1"/>
      <c r="I16" s="1"/>
      <c r="J16" s="1"/>
      <c r="K16" s="19" t="str">
        <f>'ULD LOAD INPUT'!B8&amp;" "&amp;TEXT('ULD LOAD INPUT'!C8,"#,##0")&amp;" kg"</f>
        <v>PAG 1,100 kg</v>
      </c>
      <c r="L16" s="20"/>
      <c r="M16" s="20"/>
      <c r="N16" s="1"/>
      <c r="O16" s="1"/>
      <c r="P16" s="1"/>
    </row>
    <row r="17" spans="3:13" ht="18" customHeight="1">
      <c r="C17" s="52">
        <f>'CARGO HOLD VISUAL LAYOUT'!F2</f>
        <v>0</v>
      </c>
      <c r="D17" s="52"/>
      <c r="E17" s="52"/>
      <c r="F17" s="1"/>
      <c r="G17" s="1"/>
      <c r="H17" s="1"/>
      <c r="I17" s="1"/>
      <c r="J17" s="1"/>
      <c r="K17" s="52" t="str">
        <f>'CARGO HOLD VISUAL LAYOUT'!F8</f>
        <v>SAFE</v>
      </c>
      <c r="L17" s="52"/>
      <c r="M17" s="52"/>
    </row>
    <row r="18" spans="3:13" ht="21.75" customHeight="1">
      <c r="C18" s="56" t="s">
        <v>114</v>
      </c>
      <c r="D18" s="56"/>
      <c r="E18" s="56"/>
      <c r="F18" s="1"/>
      <c r="G18" s="1"/>
      <c r="H18" s="1"/>
      <c r="I18" s="1"/>
      <c r="J18" s="1"/>
      <c r="K18" s="56" t="s">
        <v>115</v>
      </c>
      <c r="L18" s="56"/>
      <c r="M18" s="56"/>
    </row>
    <row r="19" spans="3:13" ht="15" hidden="1" customHeight="1">
      <c r="C19" s="19" t="str">
        <f>'ULD LOAD INPUT'!B3&amp;" "&amp;TEXT('ULD LOAD INPUT'!C3,"#,##0")&amp;" kg"</f>
        <v>PAG 4,200 kg</v>
      </c>
      <c r="D19" s="20"/>
      <c r="E19" s="20"/>
      <c r="F19" s="1"/>
      <c r="G19" s="1"/>
      <c r="H19" s="1"/>
      <c r="I19" s="1"/>
      <c r="J19" s="1"/>
      <c r="K19" s="19" t="str">
        <f>'ULD LOAD INPUT'!B9&amp;" "&amp;TEXT('ULD LOAD INPUT'!C9,"#,##0")&amp;" kg"</f>
        <v>PMC 1,400 kg</v>
      </c>
      <c r="L19" s="20"/>
      <c r="M19" s="20"/>
    </row>
    <row r="20" spans="3:13" ht="18" customHeight="1">
      <c r="C20" s="52" t="str">
        <f>'CARGO HOLD VISUAL LAYOUT'!F3</f>
        <v>Status</v>
      </c>
      <c r="D20" s="52"/>
      <c r="E20" s="52"/>
      <c r="F20" s="1"/>
      <c r="G20" s="1"/>
      <c r="H20" s="1"/>
      <c r="I20" s="1"/>
      <c r="J20" s="1"/>
      <c r="K20" s="52" t="str">
        <f>'CARGO HOLD VISUAL LAYOUT'!F9</f>
        <v>SAFE</v>
      </c>
      <c r="L20" s="52"/>
      <c r="M20" s="52"/>
    </row>
    <row r="21" spans="3:13" ht="21.75" customHeight="1">
      <c r="C21" s="56" t="s">
        <v>116</v>
      </c>
      <c r="D21" s="56"/>
      <c r="E21" s="56"/>
      <c r="F21" s="1"/>
      <c r="G21" s="1"/>
      <c r="H21" s="1"/>
      <c r="I21" s="1"/>
      <c r="J21" s="1"/>
      <c r="K21" s="56" t="s">
        <v>117</v>
      </c>
      <c r="L21" s="56"/>
      <c r="M21" s="56"/>
    </row>
    <row r="22" spans="3:13" ht="15" hidden="1" customHeight="1">
      <c r="C22" s="19" t="str">
        <f>'ULD LOAD INPUT'!B4&amp;" "&amp;TEXT('ULD LOAD INPUT'!C4,"#,##0")&amp;" kg"</f>
        <v>PMC 5,200 kg</v>
      </c>
      <c r="D22" s="20"/>
      <c r="E22" s="20"/>
      <c r="F22" s="1"/>
      <c r="G22" s="1"/>
      <c r="H22" s="1"/>
      <c r="I22" s="1"/>
      <c r="J22" s="1"/>
      <c r="K22" s="19" t="str">
        <f>'ULD LOAD INPUT'!B10&amp;" "&amp;TEXT('ULD LOAD INPUT'!C10,"#,##0")&amp;" kg"</f>
        <v>PMC 1,700 kg</v>
      </c>
      <c r="L22" s="20"/>
      <c r="M22" s="20"/>
    </row>
    <row r="23" spans="3:13" ht="18" customHeight="1">
      <c r="C23" s="52" t="str">
        <f>'CARGO HOLD VISUAL LAYOUT'!F4</f>
        <v>SAFE</v>
      </c>
      <c r="D23" s="52"/>
      <c r="E23" s="52"/>
      <c r="F23" s="1"/>
      <c r="G23" s="1"/>
      <c r="H23" s="1"/>
      <c r="I23" s="1"/>
      <c r="J23" s="1"/>
      <c r="K23" s="52" t="str">
        <f>'CARGO HOLD VISUAL LAYOUT'!F10</f>
        <v>SAFE</v>
      </c>
      <c r="L23" s="52"/>
      <c r="M23" s="52"/>
    </row>
    <row r="24" spans="3:13" ht="21.75" customHeight="1">
      <c r="C24" s="56" t="s">
        <v>118</v>
      </c>
      <c r="D24" s="56"/>
      <c r="E24" s="56"/>
      <c r="F24" s="1"/>
      <c r="G24" s="1"/>
      <c r="H24" s="1"/>
      <c r="I24" s="1"/>
      <c r="J24" s="1"/>
      <c r="K24" s="56" t="s">
        <v>119</v>
      </c>
      <c r="L24" s="56"/>
      <c r="M24" s="56"/>
    </row>
    <row r="25" spans="3:13" ht="15" hidden="1" customHeight="1">
      <c r="C25" s="19" t="str">
        <f>'ULD LOAD INPUT'!B5&amp;" "&amp;TEXT('ULD LOAD INPUT'!C5,"#,##0")&amp;" kg"</f>
        <v>PMC 5,200 kg</v>
      </c>
      <c r="D25" s="20"/>
      <c r="E25" s="20"/>
      <c r="F25" s="1"/>
      <c r="G25" s="1"/>
      <c r="H25" s="1"/>
      <c r="I25" s="1"/>
      <c r="J25" s="1"/>
      <c r="K25" s="19" t="str">
        <f>'ULD LOAD INPUT'!B11&amp;" "&amp;TEXT('ULD LOAD INPUT'!C11,"#,##0")&amp;" kg"</f>
        <v>PMC 1,700 kg</v>
      </c>
      <c r="L25" s="20"/>
      <c r="M25" s="20"/>
    </row>
    <row r="26" spans="3:13" ht="18" customHeight="1">
      <c r="C26" s="52" t="str">
        <f>'CARGO HOLD VISUAL LAYOUT'!F5</f>
        <v>SAFE</v>
      </c>
      <c r="D26" s="52"/>
      <c r="E26" s="52"/>
      <c r="F26" s="1"/>
      <c r="G26" s="1"/>
      <c r="H26" s="1"/>
      <c r="I26" s="1"/>
      <c r="J26" s="1"/>
      <c r="K26" s="52" t="str">
        <f>'CARGO HOLD VISUAL LAYOUT'!F11</f>
        <v>SAFE</v>
      </c>
      <c r="L26" s="52"/>
      <c r="M26" s="52"/>
    </row>
    <row r="27" spans="3:13" ht="21.75" customHeight="1">
      <c r="C27" s="56" t="s">
        <v>120</v>
      </c>
      <c r="D27" s="56"/>
      <c r="E27" s="56"/>
      <c r="F27" s="1"/>
      <c r="G27" s="1"/>
      <c r="H27" s="1"/>
      <c r="I27" s="1"/>
      <c r="J27" s="1"/>
      <c r="K27" s="56" t="s">
        <v>121</v>
      </c>
      <c r="L27" s="56"/>
      <c r="M27" s="56"/>
    </row>
    <row r="28" spans="3:13" ht="15" hidden="1" customHeight="1">
      <c r="C28" s="19" t="str">
        <f>'ULD LOAD INPUT'!B6&amp;" "&amp;TEXT('ULD LOAD INPUT'!C6,"#,##0")&amp;" kg"</f>
        <v>PMC 4,200 kg</v>
      </c>
      <c r="D28" s="20"/>
      <c r="E28" s="20"/>
      <c r="F28" s="1"/>
      <c r="G28" s="1"/>
      <c r="H28" s="1"/>
      <c r="I28" s="1"/>
      <c r="J28" s="1"/>
      <c r="K28" s="19" t="str">
        <f>'ULD LOAD INPUT'!B12&amp;" "&amp;TEXT('ULD LOAD INPUT'!C12,"#,##0")&amp;" kg"</f>
        <v>LD-3 1,400 kg</v>
      </c>
      <c r="L28" s="20"/>
      <c r="M28" s="20"/>
    </row>
    <row r="29" spans="3:13" ht="18" customHeight="1">
      <c r="C29" s="52" t="str">
        <f>'CARGO HOLD VISUAL LAYOUT'!F6</f>
        <v>SAFE</v>
      </c>
      <c r="D29" s="52"/>
      <c r="E29" s="52"/>
      <c r="F29" s="1"/>
      <c r="G29" s="1"/>
      <c r="H29" s="1"/>
      <c r="I29" s="1"/>
      <c r="J29" s="1"/>
      <c r="K29" s="52" t="str">
        <f>'CARGO HOLD VISUAL LAYOUT'!F12</f>
        <v>SAFE</v>
      </c>
      <c r="L29" s="52"/>
      <c r="M29" s="52"/>
    </row>
    <row r="30" spans="3:13" ht="21.75" customHeight="1">
      <c r="C30" s="56" t="s">
        <v>122</v>
      </c>
      <c r="D30" s="56"/>
      <c r="E30" s="56"/>
      <c r="F30" s="1"/>
      <c r="G30" s="1"/>
      <c r="H30" s="1"/>
      <c r="I30" s="1"/>
      <c r="J30" s="1"/>
      <c r="K30" s="56" t="s">
        <v>123</v>
      </c>
      <c r="L30" s="56"/>
      <c r="M30" s="56"/>
    </row>
    <row r="31" spans="3:13" ht="15" hidden="1" customHeight="1">
      <c r="C31" s="19" t="str">
        <f>'ULD LOAD INPUT'!B7&amp;" "&amp;TEXT('ULD LOAD INPUT'!C7,"#,##0")&amp;" kg"</f>
        <v>PMC 3,200 kg</v>
      </c>
      <c r="D31" s="20"/>
      <c r="E31" s="20"/>
      <c r="F31" s="1"/>
      <c r="G31" s="1"/>
      <c r="H31" s="1"/>
      <c r="I31" s="1"/>
      <c r="J31" s="1"/>
      <c r="K31" s="19" t="str">
        <f>'ULD LOAD INPUT'!B13&amp;" "&amp;TEXT('ULD LOAD INPUT'!C13,"#,##0")&amp;" kg"</f>
        <v>LD-3 1,100 kg</v>
      </c>
      <c r="L31" s="20"/>
      <c r="M31" s="20"/>
    </row>
    <row r="32" spans="3:13" ht="15" customHeight="1">
      <c r="C32" s="1" t="str">
        <f>'CARGO HOLD VISUAL LAYOUT'!F7</f>
        <v>SAFE</v>
      </c>
      <c r="D32" s="1"/>
      <c r="E32" s="1"/>
      <c r="F32" s="1"/>
      <c r="G32" s="52"/>
      <c r="H32" s="52"/>
      <c r="I32" s="52"/>
      <c r="J32" s="52"/>
      <c r="K32" s="1" t="str">
        <f>'CARGO HOLD VISUAL LAYOUT'!F13</f>
        <v>SAFE</v>
      </c>
      <c r="L32" s="1"/>
      <c r="M32" s="1"/>
    </row>
    <row r="33" spans="1:16">
      <c r="A33" s="1"/>
      <c r="B33" s="1"/>
      <c r="C33" s="1"/>
      <c r="D33" s="1"/>
      <c r="E33" s="1"/>
      <c r="F33" s="1"/>
      <c r="G33" s="18" t="s">
        <v>124</v>
      </c>
      <c r="H33" s="1"/>
      <c r="I33" s="1"/>
      <c r="J33" s="1"/>
      <c r="K33" s="1"/>
      <c r="L33" s="1"/>
      <c r="M33" s="1"/>
      <c r="N33" s="1"/>
      <c r="O33" s="1"/>
      <c r="P33" s="1"/>
    </row>
    <row r="34" spans="1:16" ht="21.7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</row>
    <row r="35" spans="1:16" ht="15" customHeight="1">
      <c r="A35" s="21" t="s">
        <v>125</v>
      </c>
      <c r="B35" s="1"/>
      <c r="C35" s="52"/>
      <c r="D35" s="52"/>
      <c r="E35" s="1"/>
      <c r="F35" s="1"/>
      <c r="G35" s="1"/>
      <c r="H35" s="1"/>
      <c r="I35" s="22" t="s">
        <v>126</v>
      </c>
      <c r="J35" s="1"/>
      <c r="K35" s="52"/>
      <c r="L35" s="52"/>
      <c r="M35" s="1"/>
      <c r="N35" s="1"/>
      <c r="O35" s="1"/>
      <c r="P35" s="1"/>
    </row>
    <row r="36" spans="1:16" ht="15" customHeight="1">
      <c r="A36" s="42" t="s">
        <v>127</v>
      </c>
      <c r="B36" s="1"/>
      <c r="C36" s="57" t="str">
        <f>'CG &amp; BALANCE DECISION ENGINE'!B12&amp;" kg"</f>
        <v>33600 kg</v>
      </c>
      <c r="D36" s="57"/>
      <c r="E36" s="1"/>
      <c r="F36" s="1"/>
      <c r="G36" s="1"/>
      <c r="H36" s="1"/>
      <c r="I36" s="42" t="s">
        <v>128</v>
      </c>
      <c r="J36" s="1"/>
      <c r="K36" s="57" t="str">
        <f>TEXT('CG &amp; BALANCE DECISION ENGINE'!B15,"0.00")&amp;" m"</f>
        <v>16.40 m</v>
      </c>
      <c r="L36" s="57"/>
      <c r="M36" s="1"/>
      <c r="N36" s="1"/>
      <c r="O36" s="1"/>
      <c r="P36" s="1"/>
    </row>
    <row r="37" spans="1:16" ht="15" customHeight="1">
      <c r="A37" s="42" t="s">
        <v>129</v>
      </c>
      <c r="B37" s="1"/>
      <c r="C37" s="57">
        <f>COUNTA('ULD LOAD INPUT'!B2:B13)</f>
        <v>12</v>
      </c>
      <c r="D37" s="57"/>
      <c r="E37" s="1"/>
      <c r="F37" s="1"/>
      <c r="G37" s="1"/>
      <c r="H37" s="1"/>
      <c r="I37" s="42" t="s">
        <v>130</v>
      </c>
      <c r="J37" s="1"/>
      <c r="K37" s="57" t="str">
        <f>TEXT('CG &amp; BALANCE DECISION ENGINE'!B7,"0.00")&amp;" m"</f>
        <v>16.00 m</v>
      </c>
      <c r="L37" s="57"/>
      <c r="M37" s="1"/>
      <c r="N37" s="1"/>
      <c r="O37" s="1"/>
      <c r="P37" s="1"/>
    </row>
    <row r="38" spans="1:16" ht="15" customHeight="1">
      <c r="A38" s="42" t="s">
        <v>131</v>
      </c>
      <c r="B38" s="1"/>
      <c r="C38" s="57" t="str">
        <f ca="1">SUMIF('ULD MASTER TABLE'!C:C,"Main",'ARM &amp; MOMENT COMPUTATION'!D4:D15)&amp;" kg"</f>
        <v>16000 kg</v>
      </c>
      <c r="D38" s="57"/>
      <c r="E38" s="1"/>
      <c r="F38" s="1"/>
      <c r="G38" s="1"/>
      <c r="H38" s="1"/>
      <c r="I38" s="42" t="s">
        <v>132</v>
      </c>
      <c r="J38" s="1"/>
      <c r="K38" s="57" t="str">
        <f>TEXT('CG &amp; BALANCE DECISION ENGINE'!B8,"0.00")&amp;" m"</f>
        <v>32.00 m</v>
      </c>
      <c r="L38" s="57"/>
      <c r="M38" s="1"/>
      <c r="N38" s="1"/>
      <c r="O38" s="1"/>
      <c r="P38" s="1"/>
    </row>
    <row r="39" spans="1:16" ht="15" customHeight="1">
      <c r="A39" s="42" t="s">
        <v>133</v>
      </c>
      <c r="B39" s="1"/>
      <c r="C39" s="57" t="str">
        <f ca="1">SUMIF('ULD MASTER TABLE'!C:C,"Lower",'ARM &amp; MOMENT COMPUTATION'!D4:D15)&amp;" kg"</f>
        <v>8500 kg</v>
      </c>
      <c r="D39" s="57"/>
      <c r="E39" s="1"/>
      <c r="F39" s="1"/>
      <c r="G39" s="1"/>
      <c r="H39" s="1"/>
      <c r="I39" s="42" t="s">
        <v>89</v>
      </c>
      <c r="J39" s="1"/>
      <c r="K39" s="39" t="str">
        <f>'CG &amp; BALANCE DECISION ENGINE'!B19</f>
        <v>✓ CG WITHIN SAFE ENVELOPE</v>
      </c>
      <c r="L39" s="20"/>
      <c r="M39" s="1"/>
      <c r="N39" s="1"/>
      <c r="O39" s="1"/>
      <c r="P39" s="1"/>
    </row>
    <row r="40" spans="1:16" ht="15" customHeight="1">
      <c r="A40" s="42" t="s">
        <v>134</v>
      </c>
      <c r="B40" s="1"/>
      <c r="C40" s="23">
        <f>COUNTIF('CARGO HOLD VISUAL LAYOUT'!F:F,"OVERLOAD")</f>
        <v>0</v>
      </c>
      <c r="D40" s="20"/>
      <c r="E40" s="1"/>
      <c r="F40" s="1"/>
      <c r="G40" s="1"/>
      <c r="H40" s="1"/>
      <c r="I40" s="52"/>
      <c r="J40" s="52"/>
      <c r="K40" s="52"/>
      <c r="L40" s="52"/>
      <c r="M40" s="52"/>
      <c r="N40" s="52"/>
      <c r="O40" s="52"/>
      <c r="P40" s="52"/>
    </row>
    <row r="41" spans="1:16" ht="24.75" customHeight="1">
      <c r="A41" s="52"/>
      <c r="B41" s="52"/>
      <c r="C41" s="52"/>
      <c r="D41" s="52"/>
      <c r="E41" s="52"/>
      <c r="F41" s="52"/>
      <c r="G41" s="52"/>
      <c r="H41" s="52"/>
      <c r="I41" s="24" t="s">
        <v>135</v>
      </c>
      <c r="J41" s="1"/>
      <c r="K41" s="1"/>
      <c r="L41" s="1"/>
      <c r="M41" s="1"/>
      <c r="N41" s="1"/>
      <c r="O41" s="1"/>
      <c r="P41" s="1"/>
    </row>
    <row r="42" spans="1:16" ht="15" customHeight="1">
      <c r="A42" s="25" t="s">
        <v>136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34.5" customHeight="1">
      <c r="A43" s="52"/>
      <c r="B43" s="52"/>
      <c r="C43" s="52"/>
      <c r="D43" s="52"/>
      <c r="E43" s="52"/>
      <c r="F43" s="52"/>
      <c r="G43" s="52"/>
      <c r="H43" s="52"/>
      <c r="I43" s="1" t="s">
        <v>137</v>
      </c>
      <c r="J43" s="1">
        <f>'CG &amp; BALANCE DECISION ENGINE'!B7</f>
        <v>16</v>
      </c>
      <c r="K43" s="1"/>
      <c r="L43" s="1"/>
      <c r="M43" s="1"/>
      <c r="N43" s="1"/>
      <c r="O43" s="1"/>
      <c r="P43" s="1"/>
    </row>
    <row r="44" spans="1:16" ht="15" customHeight="1">
      <c r="A44" s="26" t="str">
        <f>'CG &amp; BALANCE DECISION ENGINE'!B21</f>
        <v>✓ SAFE FOR FLIGHT</v>
      </c>
      <c r="B44" s="27"/>
      <c r="C44" s="27"/>
      <c r="D44" s="27"/>
      <c r="E44" s="27"/>
      <c r="F44" s="27"/>
      <c r="G44" s="27"/>
      <c r="H44" s="27"/>
      <c r="I44" s="1" t="s">
        <v>138</v>
      </c>
      <c r="J44" s="28">
        <f>'CG &amp; BALANCE DECISION ENGINE'!B15</f>
        <v>16.401785714285715</v>
      </c>
      <c r="K44" s="1"/>
      <c r="L44" s="1"/>
      <c r="M44" s="1"/>
      <c r="N44" s="1"/>
      <c r="O44" s="1"/>
      <c r="P44" s="1"/>
    </row>
    <row r="45" spans="1:16" ht="15" customHeight="1">
      <c r="A45" s="52"/>
      <c r="B45" s="52"/>
      <c r="C45" s="52"/>
      <c r="D45" s="52"/>
      <c r="E45" s="52"/>
      <c r="F45" s="52"/>
      <c r="G45" s="52"/>
      <c r="H45" s="52"/>
      <c r="I45" s="1" t="s">
        <v>139</v>
      </c>
      <c r="J45" s="1">
        <f>'CG &amp; BALANCE DECISION ENGINE'!B8</f>
        <v>32</v>
      </c>
      <c r="K45" s="1"/>
      <c r="L45" s="1"/>
      <c r="M45" s="1"/>
      <c r="N45" s="1"/>
      <c r="O45" s="1"/>
      <c r="P45" s="1"/>
    </row>
    <row r="46" spans="1:16" ht="15" customHeight="1">
      <c r="A46" s="29" t="s">
        <v>140</v>
      </c>
      <c r="B46" s="1"/>
      <c r="C46" s="1"/>
      <c r="D46" s="52"/>
      <c r="E46" s="52"/>
      <c r="F46" s="52"/>
      <c r="G46" s="52"/>
      <c r="H46" s="1"/>
      <c r="I46" s="1"/>
      <c r="J46" s="1"/>
      <c r="K46" s="1"/>
      <c r="L46" s="1"/>
      <c r="M46" s="1"/>
      <c r="N46" s="1"/>
      <c r="O46" s="1"/>
      <c r="P46" s="1"/>
    </row>
    <row r="47" spans="1:16" ht="15" customHeight="1">
      <c r="A47" s="30" t="s">
        <v>141</v>
      </c>
      <c r="B47" s="1"/>
      <c r="C47" s="1"/>
      <c r="D47" s="58" t="str">
        <f>IF(COUNTIF('CARGO HOLD VISUAL LAYOUT'!F:F,"OVERLOAD")&gt;0,"❌ OVERLOAD DETECTED","✅ ALL WEIGHTS WITHIN LIMITS")</f>
        <v>✅ ALL WEIGHTS WITHIN LIMITS</v>
      </c>
      <c r="E47" s="58"/>
      <c r="F47" s="58"/>
      <c r="G47" s="58"/>
      <c r="H47" s="1"/>
      <c r="I47" s="1"/>
      <c r="J47" s="1"/>
      <c r="K47" s="1"/>
      <c r="L47" s="1"/>
      <c r="M47" s="1"/>
      <c r="N47" s="1"/>
      <c r="O47" s="1"/>
      <c r="P47" s="1"/>
    </row>
    <row r="48" spans="1:16" ht="15" customHeight="1">
      <c r="A48" s="30" t="s">
        <v>142</v>
      </c>
      <c r="B48" s="1"/>
      <c r="C48" s="1"/>
      <c r="D48" s="58" t="str">
        <f>'CG &amp; BALANCE DECISION ENGINE'!B19</f>
        <v>✓ CG WITHIN SAFE ENVELOPE</v>
      </c>
      <c r="E48" s="58"/>
      <c r="F48" s="58"/>
      <c r="G48" s="58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30" t="s">
        <v>143</v>
      </c>
      <c r="B49" s="1"/>
      <c r="C49" s="1"/>
      <c r="D49" s="38" t="str">
        <f>IF(COUNTA('ULD LOAD INPUT'!B2:B13)=12,"✅ ALL POSITIONS LOADED","⚠️ PARTIAL LOAD")</f>
        <v>✅ ALL POSITIONS LOADED</v>
      </c>
      <c r="E49" s="20"/>
      <c r="F49" s="20"/>
      <c r="G49" s="20"/>
      <c r="H49" s="1"/>
      <c r="I49" s="1"/>
      <c r="J49" s="1"/>
      <c r="K49" s="1"/>
      <c r="L49" s="1"/>
      <c r="M49" s="1"/>
      <c r="N49" s="1"/>
      <c r="O49" s="1"/>
      <c r="P49" s="1"/>
    </row>
    <row r="50" spans="1:16" ht="1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</row>
    <row r="51" spans="1:16" ht="15" customHeight="1">
      <c r="A51" s="31" t="s">
        <v>144</v>
      </c>
      <c r="B51" s="1"/>
      <c r="C51" s="52"/>
      <c r="D51" s="52"/>
      <c r="E51" s="52"/>
      <c r="F51" s="1"/>
      <c r="G51" s="1"/>
      <c r="H51" s="1"/>
      <c r="I51" s="1"/>
      <c r="J51" s="1"/>
      <c r="K51" s="52"/>
      <c r="L51" s="52"/>
      <c r="M51" s="52"/>
      <c r="N51" s="1"/>
      <c r="O51" s="1"/>
      <c r="P51" s="1"/>
    </row>
    <row r="52" spans="1:16" ht="15" customHeight="1">
      <c r="A52" s="30" t="s">
        <v>145</v>
      </c>
      <c r="B52" s="1"/>
      <c r="C52" s="59" t="s">
        <v>146</v>
      </c>
      <c r="D52" s="59"/>
      <c r="E52" s="59"/>
      <c r="F52" s="1"/>
      <c r="G52" s="1"/>
      <c r="H52" s="1"/>
      <c r="I52" s="30" t="s">
        <v>147</v>
      </c>
      <c r="J52" s="1"/>
      <c r="K52" s="59" t="s">
        <v>148</v>
      </c>
      <c r="L52" s="59"/>
      <c r="M52" s="59"/>
      <c r="N52" s="1"/>
      <c r="O52" s="1"/>
      <c r="P52" s="1"/>
    </row>
    <row r="53" spans="1:16">
      <c r="A53" s="30" t="s">
        <v>149</v>
      </c>
      <c r="B53" s="1"/>
      <c r="C53" s="37" t="str">
        <f ca="1">TEXT(NOW(),"DD-MMM-YYYY HH:MM:SS")</f>
        <v>10-Feb-2026 03:23:03</v>
      </c>
      <c r="D53" s="1"/>
      <c r="E53" s="1"/>
      <c r="F53" s="1"/>
      <c r="G53" s="1"/>
      <c r="H53" s="1"/>
      <c r="I53" s="30" t="s">
        <v>150</v>
      </c>
      <c r="J53" s="1"/>
      <c r="K53" s="37" t="s">
        <v>151</v>
      </c>
      <c r="L53" s="1"/>
      <c r="M53" s="1"/>
      <c r="N53" s="1"/>
      <c r="O53" s="1"/>
      <c r="P53" s="1"/>
    </row>
    <row r="54" spans="1:16" ht="1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</row>
    <row r="55" spans="1:16" ht="409.6">
      <c r="A55" s="32" t="s">
        <v>152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</sheetData>
  <mergeCells count="67">
    <mergeCell ref="A54:P54"/>
    <mergeCell ref="A50:P50"/>
    <mergeCell ref="C51:E51"/>
    <mergeCell ref="K51:M51"/>
    <mergeCell ref="C52:E52"/>
    <mergeCell ref="K52:M52"/>
    <mergeCell ref="A43:H43"/>
    <mergeCell ref="A45:H45"/>
    <mergeCell ref="D46:G46"/>
    <mergeCell ref="D47:G47"/>
    <mergeCell ref="D48:G48"/>
    <mergeCell ref="C38:D38"/>
    <mergeCell ref="K38:L38"/>
    <mergeCell ref="C39:D39"/>
    <mergeCell ref="I40:P40"/>
    <mergeCell ref="A41:H41"/>
    <mergeCell ref="C35:D35"/>
    <mergeCell ref="K35:L35"/>
    <mergeCell ref="C36:D36"/>
    <mergeCell ref="K36:L36"/>
    <mergeCell ref="C37:D37"/>
    <mergeCell ref="K37:L37"/>
    <mergeCell ref="C30:E30"/>
    <mergeCell ref="K30:M30"/>
    <mergeCell ref="G32:J32"/>
    <mergeCell ref="A34:H34"/>
    <mergeCell ref="I34:P34"/>
    <mergeCell ref="C26:E26"/>
    <mergeCell ref="K26:M26"/>
    <mergeCell ref="C27:E27"/>
    <mergeCell ref="K27:M27"/>
    <mergeCell ref="C29:E29"/>
    <mergeCell ref="K29:M29"/>
    <mergeCell ref="C21:E21"/>
    <mergeCell ref="K21:M21"/>
    <mergeCell ref="C23:E23"/>
    <mergeCell ref="K23:M23"/>
    <mergeCell ref="C24:E24"/>
    <mergeCell ref="K24:M24"/>
    <mergeCell ref="C17:E17"/>
    <mergeCell ref="K17:M17"/>
    <mergeCell ref="C18:E18"/>
    <mergeCell ref="K18:M18"/>
    <mergeCell ref="C20:E20"/>
    <mergeCell ref="K20:M20"/>
    <mergeCell ref="A11:P11"/>
    <mergeCell ref="G12:J12"/>
    <mergeCell ref="C14:E14"/>
    <mergeCell ref="K14:M14"/>
    <mergeCell ref="C15:E15"/>
    <mergeCell ref="K15:M15"/>
    <mergeCell ref="B7:D7"/>
    <mergeCell ref="J7:L7"/>
    <mergeCell ref="B8:D8"/>
    <mergeCell ref="J8:L8"/>
    <mergeCell ref="A10:P10"/>
    <mergeCell ref="A4:H4"/>
    <mergeCell ref="I4:P4"/>
    <mergeCell ref="B5:D5"/>
    <mergeCell ref="J5:L5"/>
    <mergeCell ref="B6:D6"/>
    <mergeCell ref="J6:L6"/>
    <mergeCell ref="A1:P1"/>
    <mergeCell ref="A2:P2"/>
    <mergeCell ref="A3:D3"/>
    <mergeCell ref="E3:H3"/>
    <mergeCell ref="I3:L3"/>
  </mergeCells>
  <conditionalFormatting sqref="A43:H43">
    <cfRule type="expression" dxfId="42" priority="38">
      <formula>ISNUMBER(SEARCH("✓ SAFE",A43))</formula>
    </cfRule>
    <cfRule type="expression" dxfId="41" priority="39">
      <formula>ISNUMBER(SEARCH("✖ NOT SAFE",A43))</formula>
    </cfRule>
  </conditionalFormatting>
  <conditionalFormatting sqref="C39:D39">
    <cfRule type="expression" dxfId="40" priority="48">
      <formula>C39&gt;0</formula>
    </cfRule>
  </conditionalFormatting>
  <conditionalFormatting sqref="C15:E15">
    <cfRule type="expression" dxfId="39" priority="2">
      <formula>C16="SAFE"</formula>
    </cfRule>
    <cfRule type="expression" dxfId="38" priority="3">
      <formula>C16="NEAR LIMIT"</formula>
    </cfRule>
    <cfRule type="expression" dxfId="37" priority="4">
      <formula>C16="OVERLOAD"</formula>
    </cfRule>
  </conditionalFormatting>
  <conditionalFormatting sqref="C18:E18">
    <cfRule type="expression" dxfId="36" priority="8">
      <formula>C19="SAFE"</formula>
    </cfRule>
    <cfRule type="expression" dxfId="35" priority="9">
      <formula>C19="NEAR LIMIT"</formula>
    </cfRule>
    <cfRule type="expression" dxfId="34" priority="10">
      <formula>C19="OVERLOAD"</formula>
    </cfRule>
  </conditionalFormatting>
  <conditionalFormatting sqref="C21:E21">
    <cfRule type="expression" dxfId="33" priority="14">
      <formula>C22="SAFE"</formula>
    </cfRule>
    <cfRule type="expression" dxfId="32" priority="15">
      <formula>C22="NEAR LIMIT"</formula>
    </cfRule>
    <cfRule type="expression" dxfId="31" priority="16">
      <formula>C22="OVERLOAD"</formula>
    </cfRule>
  </conditionalFormatting>
  <conditionalFormatting sqref="C24:E24">
    <cfRule type="expression" dxfId="30" priority="20">
      <formula>C25="SAFE"</formula>
    </cfRule>
    <cfRule type="expression" dxfId="29" priority="21">
      <formula>C25="NEAR LIMIT"</formula>
    </cfRule>
    <cfRule type="expression" dxfId="28" priority="22">
      <formula>C25="OVERLOAD"</formula>
    </cfRule>
  </conditionalFormatting>
  <conditionalFormatting sqref="C27:E27">
    <cfRule type="expression" dxfId="27" priority="26">
      <formula>C28="SAFE"</formula>
    </cfRule>
    <cfRule type="expression" dxfId="26" priority="27">
      <formula>C28="NEAR LIMIT"</formula>
    </cfRule>
    <cfRule type="expression" dxfId="25" priority="28">
      <formula>C28="OVERLOAD"</formula>
    </cfRule>
  </conditionalFormatting>
  <conditionalFormatting sqref="C30:E30">
    <cfRule type="expression" dxfId="24" priority="32">
      <formula>C31="SAFE"</formula>
    </cfRule>
    <cfRule type="expression" dxfId="23" priority="33">
      <formula>C31="NEAR LIMIT"</formula>
    </cfRule>
    <cfRule type="expression" dxfId="22" priority="34">
      <formula>C31="OVERLOAD"</formula>
    </cfRule>
  </conditionalFormatting>
  <conditionalFormatting sqref="D46:G48">
    <cfRule type="expression" dxfId="21" priority="42">
      <formula>ISNUMBER(SEARCH("✅",D46))</formula>
    </cfRule>
    <cfRule type="expression" dxfId="20" priority="43">
      <formula>OR(ISNUMBER(SEARCH("❌",D46)),ISNUMBER(SEARCH("⚠️",D46)))</formula>
    </cfRule>
  </conditionalFormatting>
  <conditionalFormatting sqref="K38:L38">
    <cfRule type="expression" dxfId="19" priority="40">
      <formula>ISNUMBER(SEARCH("✓",K38))</formula>
    </cfRule>
    <cfRule type="expression" dxfId="18" priority="41">
      <formula>ISNUMBER(SEARCH("⚠",K38))</formula>
    </cfRule>
  </conditionalFormatting>
  <conditionalFormatting sqref="K15:M15">
    <cfRule type="expression" dxfId="17" priority="5">
      <formula>K16="SAFE"</formula>
    </cfRule>
    <cfRule type="expression" dxfId="16" priority="6">
      <formula>K16="NEAR LIMIT"</formula>
    </cfRule>
    <cfRule type="expression" dxfId="15" priority="7">
      <formula>K16="OVERLOAD"</formula>
    </cfRule>
  </conditionalFormatting>
  <conditionalFormatting sqref="K18:M18">
    <cfRule type="expression" dxfId="14" priority="11">
      <formula>K19="SAFE"</formula>
    </cfRule>
    <cfRule type="expression" dxfId="13" priority="12">
      <formula>K19="NEAR LIMIT"</formula>
    </cfRule>
    <cfRule type="expression" dxfId="12" priority="13">
      <formula>K19="OVERLOAD"</formula>
    </cfRule>
  </conditionalFormatting>
  <conditionalFormatting sqref="K21:M21">
    <cfRule type="expression" dxfId="11" priority="17">
      <formula>K22="SAFE"</formula>
    </cfRule>
    <cfRule type="expression" dxfId="10" priority="18">
      <formula>K22="NEAR LIMIT"</formula>
    </cfRule>
    <cfRule type="expression" dxfId="9" priority="19">
      <formula>K22="OVERLOAD"</formula>
    </cfRule>
  </conditionalFormatting>
  <conditionalFormatting sqref="K24:M24">
    <cfRule type="expression" dxfId="8" priority="23">
      <formula>K25="SAFE"</formula>
    </cfRule>
    <cfRule type="expression" dxfId="7" priority="24">
      <formula>K25="NEAR LIMIT"</formula>
    </cfRule>
    <cfRule type="expression" dxfId="6" priority="25">
      <formula>K25="OVERLOAD"</formula>
    </cfRule>
  </conditionalFormatting>
  <conditionalFormatting sqref="K27:M27">
    <cfRule type="expression" dxfId="5" priority="29">
      <formula>K28="SAFE"</formula>
    </cfRule>
    <cfRule type="expression" dxfId="4" priority="30">
      <formula>K28="NEAR LIMIT"</formula>
    </cfRule>
    <cfRule type="expression" dxfId="3" priority="31">
      <formula>K28="OVERLOAD"</formula>
    </cfRule>
  </conditionalFormatting>
  <conditionalFormatting sqref="K30:M30">
    <cfRule type="expression" dxfId="2" priority="35">
      <formula>K31="SAFE"</formula>
    </cfRule>
    <cfRule type="expression" dxfId="1" priority="36">
      <formula>K31="NEAR LIMIT"</formula>
    </cfRule>
    <cfRule type="expression" dxfId="0" priority="37">
      <formula>K31="OVERLOAD"</formula>
    </cfRule>
  </conditionalFormatting>
  <dataValidations count="1">
    <dataValidation type="list" errorTitle="Invalid Aircraft" error="Please select a valid aircraft type" promptTitle="Aircraft Selection" prompt="Select aircraft model: A320, B737, or B777" sqref="I3" xr:uid="{00000000-0002-0000-0700-000000000000}">
      <formula1>"A320,B737,B777"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5"/>
  <sheetViews>
    <sheetView zoomScaleNormal="100" workbookViewId="0">
      <selection sqref="A1:C1"/>
    </sheetView>
  </sheetViews>
  <sheetFormatPr defaultColWidth="8.7109375" defaultRowHeight="14.45"/>
  <cols>
    <col min="1" max="1" width="30" customWidth="1"/>
    <col min="2" max="2" width="25" customWidth="1"/>
    <col min="3" max="3" width="60" customWidth="1"/>
  </cols>
  <sheetData>
    <row r="1" spans="1:3" ht="17.25" customHeight="1">
      <c r="A1" s="60" t="s">
        <v>153</v>
      </c>
      <c r="B1" s="60"/>
      <c r="C1" s="60"/>
    </row>
    <row r="2" spans="1:3" ht="15" customHeight="1">
      <c r="A2" s="33" t="s">
        <v>154</v>
      </c>
      <c r="B2" s="33" t="s">
        <v>155</v>
      </c>
      <c r="C2" s="34" t="s">
        <v>156</v>
      </c>
    </row>
    <row r="3" spans="1:3" ht="15" customHeight="1">
      <c r="A3" s="1"/>
      <c r="B3" s="1"/>
      <c r="C3" s="35"/>
    </row>
    <row r="4" spans="1:3" ht="27.75" customHeight="1">
      <c r="A4" s="1" t="s">
        <v>157</v>
      </c>
      <c r="B4" s="1" t="s">
        <v>158</v>
      </c>
      <c r="C4" s="35" t="s">
        <v>159</v>
      </c>
    </row>
    <row r="5" spans="1:3" ht="15" customHeight="1">
      <c r="A5" s="1"/>
      <c r="B5" s="1"/>
      <c r="C5" s="35"/>
    </row>
    <row r="6" spans="1:3" ht="27.75" customHeight="1">
      <c r="A6" s="1" t="s">
        <v>160</v>
      </c>
      <c r="B6" s="1" t="s">
        <v>161</v>
      </c>
      <c r="C6" s="35" t="s">
        <v>162</v>
      </c>
    </row>
    <row r="7" spans="1:3" ht="15" customHeight="1">
      <c r="A7" s="1"/>
      <c r="B7" s="1"/>
      <c r="C7" s="35"/>
    </row>
    <row r="8" spans="1:3" ht="27.75" customHeight="1">
      <c r="A8" s="1" t="s">
        <v>163</v>
      </c>
      <c r="B8" s="1" t="s">
        <v>164</v>
      </c>
      <c r="C8" s="35" t="s">
        <v>165</v>
      </c>
    </row>
    <row r="9" spans="1:3" ht="15" customHeight="1">
      <c r="A9" s="1"/>
      <c r="B9" s="1"/>
      <c r="C9" s="35"/>
    </row>
    <row r="10" spans="1:3" ht="27.75" customHeight="1">
      <c r="A10" s="1" t="s">
        <v>166</v>
      </c>
      <c r="B10" s="1" t="s">
        <v>167</v>
      </c>
      <c r="C10" s="35" t="s">
        <v>168</v>
      </c>
    </row>
    <row r="11" spans="1:3" ht="15" customHeight="1">
      <c r="A11" s="1"/>
      <c r="B11" s="1"/>
      <c r="C11" s="35"/>
    </row>
    <row r="12" spans="1:3" ht="27.75" customHeight="1">
      <c r="A12" s="1" t="s">
        <v>169</v>
      </c>
      <c r="B12" s="1" t="s">
        <v>170</v>
      </c>
      <c r="C12" s="35" t="s">
        <v>171</v>
      </c>
    </row>
    <row r="13" spans="1:3" ht="15" customHeight="1">
      <c r="A13" s="1"/>
      <c r="B13" s="1"/>
      <c r="C13" s="35"/>
    </row>
    <row r="14" spans="1:3" ht="27.75" customHeight="1">
      <c r="A14" s="1" t="s">
        <v>172</v>
      </c>
      <c r="B14" s="1" t="s">
        <v>173</v>
      </c>
      <c r="C14" s="35" t="s">
        <v>174</v>
      </c>
    </row>
    <row r="15" spans="1:3" ht="15" customHeight="1">
      <c r="A15" s="1"/>
      <c r="B15" s="1"/>
      <c r="C15" s="35"/>
    </row>
    <row r="16" spans="1:3" ht="27.75" customHeight="1">
      <c r="A16" s="1" t="s">
        <v>175</v>
      </c>
      <c r="B16" s="1" t="s">
        <v>176</v>
      </c>
      <c r="C16" s="35" t="s">
        <v>177</v>
      </c>
    </row>
    <row r="17" spans="1:3" ht="15" customHeight="1">
      <c r="A17" s="1"/>
      <c r="B17" s="1"/>
      <c r="C17" s="35"/>
    </row>
    <row r="18" spans="1:3" ht="27.75" customHeight="1">
      <c r="A18" s="1" t="s">
        <v>178</v>
      </c>
      <c r="B18" s="1" t="s">
        <v>179</v>
      </c>
      <c r="C18" s="35" t="s">
        <v>180</v>
      </c>
    </row>
    <row r="19" spans="1:3" ht="15" customHeight="1">
      <c r="A19" s="1"/>
      <c r="B19" s="1"/>
      <c r="C19" s="35"/>
    </row>
    <row r="20" spans="1:3" ht="15" customHeight="1">
      <c r="A20" s="36" t="s">
        <v>181</v>
      </c>
      <c r="B20" s="1"/>
      <c r="C20" s="35"/>
    </row>
    <row r="21" spans="1:3" ht="15" customHeight="1">
      <c r="A21" s="1" t="s">
        <v>182</v>
      </c>
      <c r="B21" s="1"/>
      <c r="C21" s="35" t="s">
        <v>183</v>
      </c>
    </row>
    <row r="22" spans="1:3" ht="15" customHeight="1">
      <c r="A22" s="1" t="s">
        <v>184</v>
      </c>
      <c r="B22" s="1"/>
      <c r="C22" s="35" t="s">
        <v>185</v>
      </c>
    </row>
    <row r="23" spans="1:3" ht="15" customHeight="1">
      <c r="A23" s="1" t="s">
        <v>186</v>
      </c>
      <c r="B23" s="1"/>
      <c r="C23" s="35" t="s">
        <v>187</v>
      </c>
    </row>
    <row r="24" spans="1:3" ht="15" customHeight="1">
      <c r="A24" s="1" t="s">
        <v>188</v>
      </c>
      <c r="B24" s="1"/>
      <c r="C24" s="35" t="s">
        <v>189</v>
      </c>
    </row>
    <row r="25" spans="1:3" ht="15" customHeight="1">
      <c r="A25" s="1" t="s">
        <v>190</v>
      </c>
      <c r="B25" s="1"/>
      <c r="C25" s="35" t="s">
        <v>191</v>
      </c>
    </row>
    <row r="26" spans="1:3" ht="15" customHeight="1">
      <c r="A26" s="1"/>
      <c r="B26" s="1"/>
      <c r="C26" s="35"/>
    </row>
    <row r="27" spans="1:3" ht="15" customHeight="1">
      <c r="A27" s="36" t="s">
        <v>192</v>
      </c>
      <c r="B27" s="1"/>
      <c r="C27" s="35"/>
    </row>
    <row r="28" spans="1:3" ht="15" customHeight="1">
      <c r="A28" s="1" t="s">
        <v>193</v>
      </c>
      <c r="B28" s="1"/>
      <c r="C28" s="35"/>
    </row>
    <row r="29" spans="1:3" ht="15" customHeight="1">
      <c r="A29" s="1" t="s">
        <v>194</v>
      </c>
      <c r="B29" s="1"/>
      <c r="C29" s="35"/>
    </row>
    <row r="30" spans="1:3" ht="15" customHeight="1">
      <c r="A30" s="1" t="s">
        <v>195</v>
      </c>
      <c r="B30" s="1"/>
      <c r="C30" s="35"/>
    </row>
    <row r="31" spans="1:3" ht="15" customHeight="1">
      <c r="A31" s="1" t="s">
        <v>196</v>
      </c>
      <c r="B31" s="1"/>
      <c r="C31" s="35"/>
    </row>
    <row r="32" spans="1:3" ht="15" customHeight="1">
      <c r="A32" s="1" t="s">
        <v>197</v>
      </c>
      <c r="B32" s="1"/>
      <c r="C32" s="35"/>
    </row>
    <row r="33" spans="1:3" ht="15" customHeight="1">
      <c r="A33" s="1" t="s">
        <v>198</v>
      </c>
      <c r="B33" s="1"/>
      <c r="C33" s="35"/>
    </row>
    <row r="34" spans="1:3" ht="15" customHeight="1">
      <c r="A34" s="1"/>
      <c r="B34" s="1"/>
      <c r="C34" s="35"/>
    </row>
    <row r="35" spans="1:3" ht="15" customHeight="1">
      <c r="A35" s="1" t="s">
        <v>199</v>
      </c>
      <c r="B35" s="1"/>
      <c r="C35" s="35"/>
    </row>
  </sheetData>
  <sheetProtection sheet="1"/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2026-01-31T20:09:39Z</dcterms:created>
  <dcterms:modified xsi:type="dcterms:W3CDTF">2026-02-09T21:53:30Z</dcterms:modified>
  <cp:category/>
  <cp:contentStatus/>
</cp:coreProperties>
</file>